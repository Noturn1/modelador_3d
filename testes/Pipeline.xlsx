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unioestebr-my.sharepoint.com/personal/vinicius_viana_unioeste_br/Documents/4°  ANO/CG/3° trabalho/"/>
    </mc:Choice>
  </mc:AlternateContent>
  <xr:revisionPtr revIDLastSave="0" documentId="8_{E9FEDC8D-C620-4F22-BE3C-4DAFB6CA1E12}" xr6:coauthVersionLast="47" xr6:coauthVersionMax="47" xr10:uidLastSave="{00000000-0000-0000-0000-000000000000}"/>
  <bookViews>
    <workbookView xWindow="-28920" yWindow="6435" windowWidth="29040" windowHeight="15720" xr2:uid="{E4066102-3FFC-48AD-88DA-DDE74771DCC9}"/>
  </bookViews>
  <sheets>
    <sheet name="Planilha2" sheetId="2" r:id="rId1"/>
    <sheet name="Planilha1" sheetId="1" r:id="rId2"/>
  </sheets>
  <definedNames>
    <definedName name="A">Planilha1!$B$20:$E$23</definedName>
    <definedName name="AR">Planilha1!$P$21</definedName>
    <definedName name="B">Planilha1!$T$26:$V$28</definedName>
    <definedName name="far">Planilha1!$N$23</definedName>
    <definedName name="HRES">Planilha1!$P$17</definedName>
    <definedName name="N">Planilha1!$T$13:$V$13</definedName>
    <definedName name="N0">Planilha1!$H$37:$K$39</definedName>
    <definedName name="near">Planilha1!$N$22</definedName>
    <definedName name="u">Planilha1!$T$23:$V$23</definedName>
    <definedName name="V">Planilha1!$T$19:$V$19</definedName>
    <definedName name="VRES">Planilha1!$N$17</definedName>
    <definedName name="YY">Planilha1!$T$17:$V$17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5" i="1" l="1"/>
  <c r="C31" i="1"/>
  <c r="B30" i="1"/>
  <c r="N14" i="1"/>
  <c r="B37" i="1"/>
  <c r="T26" i="1" a="1"/>
  <c r="T26" i="1"/>
  <c r="B23" i="1" a="1"/>
  <c r="B23" i="1"/>
  <c r="V26" i="1" a="1"/>
  <c r="V26" i="1"/>
  <c r="U26" i="1" a="1"/>
  <c r="U26" i="1"/>
  <c r="N21" i="1"/>
  <c r="N20" i="1"/>
  <c r="N15" i="1"/>
  <c r="B55" i="2" a="1"/>
  <c r="B55" i="2"/>
  <c r="B50" i="2" a="1"/>
  <c r="B50" i="2"/>
  <c r="B45" i="2" a="1"/>
  <c r="B45" i="2"/>
  <c r="B40" i="2" a="1"/>
  <c r="B40" i="2"/>
  <c r="B20" i="2" a="1"/>
  <c r="B20" i="2"/>
  <c r="T13" i="1" a="1"/>
  <c r="T13" i="1"/>
  <c r="P21" i="1"/>
  <c r="N26" i="1" s="1"/>
  <c r="D73" i="1"/>
  <c r="D72" i="1"/>
  <c r="C66" i="1"/>
  <c r="B68" i="1"/>
  <c r="C68" i="1"/>
  <c r="I17" i="1"/>
  <c r="D67" i="1" s="1"/>
  <c r="C56" i="1"/>
  <c r="B55" i="1"/>
  <c r="C52" i="1"/>
  <c r="B52" i="1"/>
  <c r="B45" i="1"/>
  <c r="C46" i="1" s="1"/>
  <c r="D42" i="1"/>
  <c r="C41" i="1"/>
  <c r="B40" i="1"/>
  <c r="H32" i="1" s="1" a="1"/>
  <c r="H32" i="1" s="1"/>
  <c r="J39" i="1"/>
  <c r="J40" i="1"/>
  <c r="I40" i="1"/>
  <c r="I38" i="1"/>
  <c r="H40" i="1"/>
  <c r="H37" i="1"/>
  <c r="D68" i="1" l="1"/>
  <c r="H67" i="1" s="1" a="1"/>
  <c r="H67" i="1" s="1"/>
  <c r="N50" i="1" s="1" a="1"/>
  <c r="N50" i="1" s="1"/>
  <c r="C37" i="1"/>
  <c r="B35" i="2" a="1"/>
  <c r="B35" i="2" s="1"/>
  <c r="D32" i="1"/>
  <c r="B30" i="2" a="1"/>
  <c r="B30" i="2" s="1"/>
  <c r="T15" i="1" l="1" a="1"/>
  <c r="T15" i="1" l="1"/>
  <c r="T17" i="1" a="1"/>
  <c r="T17" i="1" l="1"/>
  <c r="T19" i="1" s="1" a="1"/>
  <c r="T19" i="1" l="1"/>
  <c r="T21" i="1" a="1"/>
  <c r="T21" i="1" l="1"/>
  <c r="B25" i="1" a="1"/>
  <c r="B25" i="1" s="1"/>
  <c r="H27" i="1" l="1" a="1"/>
  <c r="B25" i="2" a="1"/>
  <c r="H27" i="1"/>
  <c r="H42" i="1" s="1" a="1"/>
  <c r="H42" i="1" s="1"/>
  <c r="U36" i="1" s="1" a="1"/>
  <c r="U36" i="1" s="1"/>
  <c r="B25" i="2" l="1"/>
  <c r="H20" i="2" s="1" a="1"/>
  <c r="N56" i="1" a="1"/>
  <c r="N56" i="1" l="1"/>
  <c r="S68" i="1" a="1"/>
  <c r="S68" i="1" s="1"/>
  <c r="H20" i="2"/>
  <c r="H26" i="2" s="1" a="1"/>
  <c r="H2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tc={4DAB3095-40DD-479C-BF1F-32F0B74476E8}</author>
    <author>tc={7EE09ACC-DC3C-4D86-9810-28887133B82F}</author>
  </authors>
  <commentList>
    <comment ref="J17" authorId="0" shapeId="0" xr:uid="{4DAB3095-40DD-479C-BF1F-32F0B74476E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VALOR ARBITRARIO</t>
      </text>
    </comment>
    <comment ref="D67" authorId="1" shapeId="0" xr:uid="{7EE09ACC-DC3C-4D86-9810-28887133B82F}">
      <text>
        <t>[Threaded comment]
Your version of Excel allows you to read this threaded comment; however, any edits to it will get removed if the file is opened in a newer version of Excel. Learn more: https://go.microsoft.com/fwlink/?linkid=870924
Comment:
    Z MÁXIMO DEFINIDO COMO 1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<sst xmlns="http://schemas.openxmlformats.org/spreadsheetml/2006/main" count="97" uniqueCount="72">
  <si>
    <t>OBJETO - Cubo:</t>
  </si>
  <si>
    <t>A</t>
  </si>
  <si>
    <t>B</t>
  </si>
  <si>
    <t>C</t>
  </si>
  <si>
    <t>D</t>
  </si>
  <si>
    <t>E</t>
  </si>
  <si>
    <t>F</t>
  </si>
  <si>
    <t>G</t>
  </si>
  <si>
    <t>H</t>
  </si>
  <si>
    <t>x</t>
  </si>
  <si>
    <t>y</t>
  </si>
  <si>
    <t>z</t>
  </si>
  <si>
    <t>h</t>
  </si>
  <si>
    <t>A =</t>
  </si>
  <si>
    <t>matriz final</t>
  </si>
  <si>
    <t>B =</t>
  </si>
  <si>
    <t>D =</t>
  </si>
  <si>
    <t>C =</t>
  </si>
  <si>
    <t xml:space="preserve">K = </t>
  </si>
  <si>
    <t>L =</t>
  </si>
  <si>
    <t>P =</t>
  </si>
  <si>
    <t>M =</t>
  </si>
  <si>
    <t>J =</t>
  </si>
  <si>
    <t>Arthur Angelo Cenci Silva</t>
  </si>
  <si>
    <t xml:space="preserve">Lucas Ivanov Costa </t>
  </si>
  <si>
    <t>Vinicius Eduardo Morais Oliveira</t>
  </si>
  <si>
    <t>Vinicius Vieira Viana</t>
  </si>
  <si>
    <t xml:space="preserve">VRP = </t>
  </si>
  <si>
    <t>LIMITES DA WINDOW</t>
  </si>
  <si>
    <t>CENTRO DO PLANO DE PROJEÇÃO</t>
  </si>
  <si>
    <t>N =</t>
  </si>
  <si>
    <t>Xmin =</t>
  </si>
  <si>
    <t>Xmax =</t>
  </si>
  <si>
    <t xml:space="preserve">CU = </t>
  </si>
  <si>
    <t>Ymin</t>
  </si>
  <si>
    <t>Ymax =</t>
  </si>
  <si>
    <t xml:space="preserve">CV = </t>
  </si>
  <si>
    <t>^n =</t>
  </si>
  <si>
    <t>Y =</t>
  </si>
  <si>
    <t>Zmin =</t>
  </si>
  <si>
    <t>Zmax =</t>
  </si>
  <si>
    <t>VRES =</t>
  </si>
  <si>
    <t>HRES =</t>
  </si>
  <si>
    <t>Y' =</t>
  </si>
  <si>
    <t>THE VIEWING TRANSFORMATION</t>
  </si>
  <si>
    <t>LIMITES DA VIEWPORT</t>
  </si>
  <si>
    <t>RAZÃO DE ASPECTO</t>
  </si>
  <si>
    <t>V =</t>
  </si>
  <si>
    <t>Umin =</t>
  </si>
  <si>
    <t>Umax =</t>
  </si>
  <si>
    <t>SU =</t>
  </si>
  <si>
    <t>Vmin =</t>
  </si>
  <si>
    <t>Vmax =</t>
  </si>
  <si>
    <t>SV =</t>
  </si>
  <si>
    <t>^v =</t>
  </si>
  <si>
    <t xml:space="preserve">DP = </t>
  </si>
  <si>
    <t>F =</t>
  </si>
  <si>
    <t>û =</t>
  </si>
  <si>
    <t>PAR =</t>
  </si>
  <si>
    <t>NL =</t>
  </si>
  <si>
    <t xml:space="preserve">NR = </t>
  </si>
  <si>
    <t>NPS=</t>
  </si>
  <si>
    <t>NOR =</t>
  </si>
  <si>
    <t>E =</t>
  </si>
  <si>
    <t>NO =</t>
  </si>
  <si>
    <t>F=</t>
  </si>
  <si>
    <t xml:space="preserve">G = </t>
  </si>
  <si>
    <t>S = JKLM</t>
  </si>
  <si>
    <t>H =</t>
  </si>
  <si>
    <t>pNPS =</t>
  </si>
  <si>
    <t xml:space="preserve">KL = </t>
  </si>
  <si>
    <t>OBJETO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</si>
</sst>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rgb="FF000000"/>
      <name val="Aptos Narrow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Mundo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Planilha1!$B$8:$F$8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xVal>
          <c:yVal>
            <c:numRef>
              <c:f>Planilha1!$B$9:$F$9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6E-450B-9713-293469AFB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7594736"/>
        <c:axId val="1437595696"/>
      </c:scatterChart>
      <c:valAx>
        <c:axId val="143759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7595696"/>
        <c:crosses val="autoZero"/>
        <c:crossBetween val="midCat"/>
      </c:valAx>
      <c:valAx>
        <c:axId val="143759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7594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533400</xdr:colOff>
      <xdr:row>28</xdr:row>
      <xdr:rowOff>14287</xdr:rowOff>
    </xdr:from>
    <xdr:ext cx="65" cy="344453"/>
    <xdr:sp macro="" textlink="">
      <xdr:nvSpPr>
        <xdr:cNvPr id="3" name="CaixaDeTexto 1">
          <a:extLst>
            <a:ext uri="{FF2B5EF4-FFF2-40B4-BE49-F238E27FC236}">
              <a16:creationId xmlns:a16="http://schemas.microsoft.com/office/drawing/2014/main" id="{959FB585-83E1-761E-936C-00604DACBD25}"/>
            </a:ext>
          </a:extLst>
        </xdr:cNvPr>
        <xdr:cNvSpPr txBox="1"/>
      </xdr:nvSpPr>
      <xdr:spPr>
        <a:xfrm>
          <a:off x="8458200" y="3062287"/>
          <a:ext cx="65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t-BR" sz="1100" b="0"/>
        </a:p>
        <a:p>
          <a:endParaRPr lang="pt-BR" sz="1100"/>
        </a:p>
      </xdr:txBody>
    </xdr:sp>
    <xdr:clientData/>
  </xdr:oneCellAnchor>
  <xdr:oneCellAnchor>
    <xdr:from>
      <xdr:col>7</xdr:col>
      <xdr:colOff>533400</xdr:colOff>
      <xdr:row>28</xdr:row>
      <xdr:rowOff>14287</xdr:rowOff>
    </xdr:from>
    <xdr:ext cx="65" cy="344453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85F074BC-9304-4A34-8035-EB51C114A47D}"/>
            </a:ext>
            <a:ext uri="{147F2762-F138-4A5C-976F-8EAC2B608ADB}">
              <a16:predDERef xmlns:a16="http://schemas.microsoft.com/office/drawing/2014/main" pred="{959FB585-83E1-761E-936C-00604DACBD25}"/>
            </a:ext>
          </a:extLst>
        </xdr:cNvPr>
        <xdr:cNvSpPr txBox="1"/>
      </xdr:nvSpPr>
      <xdr:spPr>
        <a:xfrm>
          <a:off x="8791575" y="4148137"/>
          <a:ext cx="65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t-BR" sz="1100" b="0"/>
        </a:p>
        <a:p>
          <a:endParaRPr lang="pt-BR" sz="1100"/>
        </a:p>
      </xdr:txBody>
    </xdr:sp>
    <xdr:clientData/>
  </xdr:oneCellAnchor>
  <xdr:twoCellAnchor>
    <xdr:from>
      <xdr:col>24</xdr:col>
      <xdr:colOff>523183</xdr:colOff>
      <xdr:row>4</xdr:row>
      <xdr:rowOff>22640</xdr:rowOff>
    </xdr:from>
    <xdr:to>
      <xdr:col>32</xdr:col>
      <xdr:colOff>236053</xdr:colOff>
      <xdr:row>18</xdr:row>
      <xdr:rowOff>60187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D6E2C1E-8371-6E68-E868-BA18EC89EC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inicius Vieira Viana" id="{C6A75049-A11B-42BE-B47D-171D941D51A6}" userId="S::vinicius.viana@unioeste.br::eb6b33a2-2898-481d-be84-01aff91b813a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7" dT="2025-10-05T14:44:24.89" personId="{C6A75049-A11B-42BE-B47D-171D941D51A6}" id="{4DAB3095-40DD-479C-BF1F-32F0B74476E8}">
    <text>VALOR ARBITRARIO</text>
  </threadedComment>
  <threadedComment ref="D67" dT="2025-10-05T14:36:55.42" personId="{C6A75049-A11B-42BE-B47D-171D941D51A6}" id="{7EE09ACC-DC3C-4D86-9810-28887133B82F}">
    <text>Z MÁXIMO DEFINIDO COMO 1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595F8-2F4A-4C50-A841-309F987ADBD6}">
  <dimension ref="A2:O63"/>
  <sheetViews>
    <sheetView tabSelected="1" topLeftCell="A16" workbookViewId="0">
      <selection activeCell="A35" sqref="A35:E38"/>
    </sheetView>
  </sheetViews>
  <sheetFormatPr defaultRowHeight="15"/>
  <cols>
    <col min="7" max="7" width="11.42578125" customWidth="1"/>
  </cols>
  <sheetData>
    <row r="2" spans="1:10">
      <c r="B2" s="1"/>
      <c r="C2" s="1"/>
      <c r="D2" s="1"/>
      <c r="E2" s="1"/>
      <c r="F2" s="1"/>
      <c r="G2" s="1"/>
      <c r="H2" s="1"/>
      <c r="I2" s="1"/>
      <c r="J2" s="1"/>
    </row>
    <row r="3" spans="1:10">
      <c r="B3" s="1"/>
      <c r="C3" s="1"/>
      <c r="D3" s="1"/>
      <c r="E3" s="1"/>
      <c r="F3" s="1"/>
      <c r="G3" s="1"/>
      <c r="H3" s="1"/>
      <c r="I3" s="1"/>
      <c r="J3" s="1"/>
    </row>
    <row r="4" spans="1:10">
      <c r="A4" s="24" t="s">
        <v>0</v>
      </c>
      <c r="B4" s="24"/>
      <c r="C4" s="24"/>
      <c r="D4" s="24"/>
      <c r="E4" s="24"/>
      <c r="F4" s="24"/>
      <c r="G4" s="24"/>
      <c r="H4" s="24"/>
      <c r="I4" s="24"/>
      <c r="J4" s="1"/>
    </row>
    <row r="5" spans="1:10">
      <c r="A5" s="22"/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1"/>
    </row>
    <row r="6" spans="1:10">
      <c r="A6" s="22" t="s">
        <v>9</v>
      </c>
      <c r="B6" s="22">
        <v>0</v>
      </c>
      <c r="C6" s="22">
        <v>1</v>
      </c>
      <c r="D6" s="22">
        <v>0</v>
      </c>
      <c r="E6" s="22">
        <v>1</v>
      </c>
      <c r="F6" s="22">
        <v>0</v>
      </c>
      <c r="G6" s="22">
        <v>1</v>
      </c>
      <c r="H6" s="22">
        <v>0</v>
      </c>
      <c r="I6" s="22">
        <v>1</v>
      </c>
      <c r="J6" s="1"/>
    </row>
    <row r="7" spans="1:10">
      <c r="A7" s="22" t="s">
        <v>10</v>
      </c>
      <c r="B7" s="22">
        <v>0</v>
      </c>
      <c r="C7" s="22">
        <v>0</v>
      </c>
      <c r="D7" s="22">
        <v>1</v>
      </c>
      <c r="E7" s="22">
        <v>1</v>
      </c>
      <c r="F7" s="22">
        <v>0</v>
      </c>
      <c r="G7" s="22">
        <v>0</v>
      </c>
      <c r="H7" s="22">
        <v>1</v>
      </c>
      <c r="I7" s="22">
        <v>1</v>
      </c>
    </row>
    <row r="8" spans="1:10">
      <c r="A8" s="22" t="s">
        <v>11</v>
      </c>
      <c r="B8" s="22">
        <v>0</v>
      </c>
      <c r="C8" s="22">
        <v>0</v>
      </c>
      <c r="D8" s="22">
        <v>0</v>
      </c>
      <c r="E8" s="22">
        <v>0</v>
      </c>
      <c r="F8" s="22">
        <v>1</v>
      </c>
      <c r="G8" s="22">
        <v>1</v>
      </c>
      <c r="H8" s="22">
        <v>1</v>
      </c>
      <c r="I8" s="22">
        <v>1</v>
      </c>
    </row>
    <row r="9" spans="1:10">
      <c r="A9" s="1" t="s">
        <v>12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</row>
    <row r="20" spans="1:15">
      <c r="A20" s="27" t="s">
        <v>13</v>
      </c>
      <c r="B20" cm="1">
        <f t="array" ref="B20:E23">TRANSPOSE(Planilha1!B20:E23)</f>
        <v>1</v>
      </c>
      <c r="C20">
        <v>0</v>
      </c>
      <c r="D20">
        <v>0</v>
      </c>
      <c r="E20">
        <v>-30</v>
      </c>
      <c r="G20" s="25" t="s">
        <v>14</v>
      </c>
      <c r="H20" cm="1">
        <f t="array" ref="H20:K23">MMULT(_xlfn.ANCHORARRAY(B55),MMULT(_xlfn.ANCHORARRAY(B45),MMULT(_xlfn.ANCHORARRAY(B40),MMULT(B60:E63,MMULT(_xlfn.ANCHORARRAY(B50),MMULT(_xlfn.ANCHORARRAY(B30),MMULT(_xlfn.ANCHORARRAY(B35),MMULT(_xlfn.ANCHORARRAY(B25),_xlfn.ANCHORARRAY(B20)))))))))</f>
        <v>-7.891986256863253E-3</v>
      </c>
      <c r="I20">
        <v>-1.6162551595838695E-2</v>
      </c>
      <c r="J20">
        <v>-4.3408626136137274E-2</v>
      </c>
      <c r="K20">
        <v>5.2241242651531694</v>
      </c>
    </row>
    <row r="21" spans="1:15">
      <c r="A21" s="27"/>
      <c r="B21">
        <v>0</v>
      </c>
      <c r="C21">
        <v>1</v>
      </c>
      <c r="D21">
        <v>0</v>
      </c>
      <c r="E21">
        <v>-40</v>
      </c>
      <c r="G21" s="25"/>
      <c r="H21">
        <v>1.922488403372024E-2</v>
      </c>
      <c r="I21">
        <v>1.9270744025535379E-2</v>
      </c>
      <c r="J21">
        <v>6.5629776528907044E-2</v>
      </c>
      <c r="K21">
        <v>-7.9105539349237244</v>
      </c>
    </row>
    <row r="22" spans="1:15">
      <c r="A22" s="27"/>
      <c r="B22">
        <v>0</v>
      </c>
      <c r="C22">
        <v>0</v>
      </c>
      <c r="D22">
        <v>1</v>
      </c>
      <c r="E22">
        <v>-100</v>
      </c>
      <c r="G22" s="25"/>
      <c r="H22">
        <v>3.6637362919175773E-3</v>
      </c>
      <c r="I22">
        <v>4.8007578997540674E-3</v>
      </c>
      <c r="J22">
        <v>1.2507237686201385E-2</v>
      </c>
      <c r="K22">
        <v>-1.7193328400344949</v>
      </c>
    </row>
    <row r="23" spans="1:15">
      <c r="A23" s="27"/>
      <c r="B23">
        <v>0</v>
      </c>
      <c r="C23">
        <v>0</v>
      </c>
      <c r="D23">
        <v>0</v>
      </c>
      <c r="E23">
        <v>1</v>
      </c>
      <c r="G23" s="25"/>
      <c r="H23">
        <v>2.1982417751505463E-3</v>
      </c>
      <c r="I23">
        <v>2.8804547398524403E-3</v>
      </c>
      <c r="J23">
        <v>7.5043426117208309E-3</v>
      </c>
      <c r="K23">
        <v>-0.93159970402069703</v>
      </c>
    </row>
    <row r="24" spans="1:15">
      <c r="A24" s="1"/>
    </row>
    <row r="25" spans="1:15">
      <c r="A25" s="27" t="s">
        <v>15</v>
      </c>
      <c r="B25" cm="1">
        <f t="array" ref="B25:E28">TRANSPOSE(Planilha1!B25:E28)</f>
        <v>0.95960000000000001</v>
      </c>
      <c r="C25">
        <v>0</v>
      </c>
      <c r="D25">
        <v>-0.28100000000000003</v>
      </c>
      <c r="E25">
        <v>0</v>
      </c>
    </row>
    <row r="26" spans="1:15">
      <c r="A26" s="27"/>
      <c r="B26">
        <v>-9.7169210089307248E-2</v>
      </c>
      <c r="C26">
        <v>0.93836182737786555</v>
      </c>
      <c r="D26">
        <v>-0.33171557927039375</v>
      </c>
      <c r="E26">
        <v>0</v>
      </c>
      <c r="H26" cm="1">
        <f t="array" ref="H26:O29">MMULT(_xlfn.ANCHORARRAY(H20),B6:I9)</f>
        <v>5.2241242651531694</v>
      </c>
      <c r="I26">
        <v>5.2162322788963058</v>
      </c>
      <c r="J26">
        <v>5.2079617135573306</v>
      </c>
      <c r="K26">
        <v>5.2000697273004679</v>
      </c>
      <c r="L26">
        <v>5.1807156390170324</v>
      </c>
      <c r="M26">
        <v>5.1728236527601688</v>
      </c>
      <c r="N26">
        <v>5.1645530874211936</v>
      </c>
      <c r="O26">
        <v>5.15666110116433</v>
      </c>
    </row>
    <row r="27" spans="1:15">
      <c r="A27" s="27"/>
      <c r="B27">
        <v>0.26378901301806557</v>
      </c>
      <c r="C27">
        <v>0.34565456878229284</v>
      </c>
      <c r="D27">
        <v>0.90052111340649976</v>
      </c>
      <c r="E27">
        <v>0</v>
      </c>
      <c r="H27">
        <v>-7.9105539349237244</v>
      </c>
      <c r="I27">
        <v>-7.891329050890004</v>
      </c>
      <c r="J27">
        <v>-7.8912831908981893</v>
      </c>
      <c r="K27">
        <v>-7.8720583068644689</v>
      </c>
      <c r="L27">
        <v>-7.844924158394817</v>
      </c>
      <c r="M27">
        <v>-7.8256992743610967</v>
      </c>
      <c r="N27">
        <v>-7.825653414369282</v>
      </c>
      <c r="O27">
        <v>-7.8064285303355616</v>
      </c>
    </row>
    <row r="28" spans="1:15">
      <c r="A28" s="27"/>
      <c r="B28">
        <v>0</v>
      </c>
      <c r="C28">
        <v>0</v>
      </c>
      <c r="D28">
        <v>0</v>
      </c>
      <c r="E28">
        <v>1</v>
      </c>
      <c r="H28">
        <v>-1.7193328400344949</v>
      </c>
      <c r="I28">
        <v>-1.7156691037425773</v>
      </c>
      <c r="J28">
        <v>-1.714532082134741</v>
      </c>
      <c r="K28">
        <v>-1.7108683458428233</v>
      </c>
      <c r="L28">
        <v>-1.7068256023482935</v>
      </c>
      <c r="M28">
        <v>-1.7031618660563759</v>
      </c>
      <c r="N28">
        <v>-1.7020248444485395</v>
      </c>
      <c r="O28">
        <v>-1.6983611081566219</v>
      </c>
    </row>
    <row r="29" spans="1:15">
      <c r="A29" s="1"/>
      <c r="H29">
        <v>-0.93159970402069703</v>
      </c>
      <c r="I29">
        <v>-0.92940146224554643</v>
      </c>
      <c r="J29">
        <v>-0.92871924928084459</v>
      </c>
      <c r="K29">
        <v>-0.92652100750569399</v>
      </c>
      <c r="L29">
        <v>-0.92409536140897619</v>
      </c>
      <c r="M29">
        <v>-0.9218971196338257</v>
      </c>
      <c r="N29">
        <v>-0.92121490666912376</v>
      </c>
      <c r="O29">
        <v>-0.91901666489397316</v>
      </c>
    </row>
    <row r="30" spans="1:15">
      <c r="A30" s="27" t="s">
        <v>16</v>
      </c>
      <c r="B30" cm="1">
        <f t="array" ref="B30:E33">TRANSPOSE(Planilha1!B30:E33)</f>
        <v>4.6296296296296298E-4</v>
      </c>
      <c r="C30">
        <v>0</v>
      </c>
      <c r="D30">
        <v>0</v>
      </c>
      <c r="E30">
        <v>0</v>
      </c>
    </row>
    <row r="31" spans="1:15">
      <c r="A31" s="27"/>
      <c r="B31">
        <v>0</v>
      </c>
      <c r="C31">
        <v>6.9444444444444447E-4</v>
      </c>
      <c r="D31">
        <v>0</v>
      </c>
      <c r="E31">
        <v>0</v>
      </c>
    </row>
    <row r="32" spans="1:15">
      <c r="A32" s="27"/>
      <c r="B32">
        <v>0</v>
      </c>
      <c r="C32">
        <v>0</v>
      </c>
      <c r="D32">
        <v>8.3333333333333332E-3</v>
      </c>
      <c r="E32">
        <v>0</v>
      </c>
    </row>
    <row r="33" spans="1:5">
      <c r="A33" s="27"/>
      <c r="B33">
        <v>0</v>
      </c>
      <c r="C33">
        <v>0</v>
      </c>
      <c r="D33">
        <v>0</v>
      </c>
      <c r="E33">
        <v>1</v>
      </c>
    </row>
    <row r="34" spans="1:5">
      <c r="A34" s="1"/>
    </row>
    <row r="35" spans="1:5">
      <c r="A35" s="27" t="s">
        <v>17</v>
      </c>
      <c r="B35" cm="1">
        <f t="array" ref="B35:E38">TRANSPOSE(Planilha1!B35:E38)</f>
        <v>1</v>
      </c>
      <c r="C35">
        <v>0</v>
      </c>
      <c r="D35">
        <v>-11</v>
      </c>
      <c r="E35">
        <v>0</v>
      </c>
    </row>
    <row r="36" spans="1:5">
      <c r="A36" s="27"/>
      <c r="B36">
        <v>0</v>
      </c>
      <c r="C36">
        <v>1</v>
      </c>
      <c r="D36">
        <v>-12</v>
      </c>
      <c r="E36">
        <v>0</v>
      </c>
    </row>
    <row r="37" spans="1:5">
      <c r="A37" s="27"/>
      <c r="B37">
        <v>0</v>
      </c>
      <c r="C37">
        <v>0</v>
      </c>
      <c r="D37">
        <v>1</v>
      </c>
      <c r="E37">
        <v>0</v>
      </c>
    </row>
    <row r="38" spans="1:5">
      <c r="A38" s="27"/>
      <c r="B38">
        <v>0</v>
      </c>
      <c r="C38">
        <v>0</v>
      </c>
      <c r="D38">
        <v>0</v>
      </c>
      <c r="E38">
        <v>1</v>
      </c>
    </row>
    <row r="39" spans="1:5">
      <c r="A39" s="1"/>
    </row>
    <row r="40" spans="1:5">
      <c r="A40" s="1" t="s">
        <v>18</v>
      </c>
      <c r="B40" cm="1">
        <f t="array" ref="B40:E43">TRANSPOSE(Planilha1!B60:E63)</f>
        <v>0.5</v>
      </c>
      <c r="C40">
        <v>0</v>
      </c>
      <c r="D40">
        <v>0</v>
      </c>
      <c r="E40">
        <v>0.5</v>
      </c>
    </row>
    <row r="41" spans="1:5">
      <c r="A41" s="1"/>
      <c r="B41">
        <v>0</v>
      </c>
      <c r="C41">
        <v>0.5</v>
      </c>
      <c r="D41">
        <v>0</v>
      </c>
      <c r="E41">
        <v>0.5</v>
      </c>
    </row>
    <row r="42" spans="1:5">
      <c r="A42" s="1"/>
      <c r="B42">
        <v>0</v>
      </c>
      <c r="C42">
        <v>0</v>
      </c>
      <c r="D42">
        <v>1</v>
      </c>
      <c r="E42">
        <v>0</v>
      </c>
    </row>
    <row r="43" spans="1:5">
      <c r="A43" s="1"/>
      <c r="B43">
        <v>0</v>
      </c>
      <c r="C43">
        <v>0</v>
      </c>
      <c r="D43">
        <v>0</v>
      </c>
      <c r="E43">
        <v>1</v>
      </c>
    </row>
    <row r="44" spans="1:5">
      <c r="A44" s="1"/>
    </row>
    <row r="45" spans="1:5">
      <c r="A45" s="26" t="s">
        <v>19</v>
      </c>
      <c r="B45" cm="1">
        <f t="array" ref="B45:E48">TRANSPOSE(Planilha1!B65:E68)</f>
        <v>20</v>
      </c>
      <c r="C45">
        <v>0</v>
      </c>
      <c r="D45">
        <v>0</v>
      </c>
      <c r="E45">
        <v>-10</v>
      </c>
    </row>
    <row r="46" spans="1:5">
      <c r="A46" s="26"/>
      <c r="B46">
        <v>0</v>
      </c>
      <c r="C46">
        <v>16</v>
      </c>
      <c r="D46">
        <v>0</v>
      </c>
      <c r="E46">
        <v>-8</v>
      </c>
    </row>
    <row r="47" spans="1:5">
      <c r="A47" s="26"/>
      <c r="B47">
        <v>0</v>
      </c>
      <c r="C47">
        <v>0</v>
      </c>
      <c r="D47">
        <v>0.83333333333333337</v>
      </c>
      <c r="E47">
        <v>0.16666666666666666</v>
      </c>
    </row>
    <row r="48" spans="1:5">
      <c r="A48" s="26"/>
      <c r="B48">
        <v>0</v>
      </c>
      <c r="C48">
        <v>0</v>
      </c>
      <c r="D48">
        <v>0</v>
      </c>
      <c r="E48">
        <v>1</v>
      </c>
    </row>
    <row r="49" spans="1:5">
      <c r="A49" s="1"/>
    </row>
    <row r="50" spans="1:5">
      <c r="A50" s="26" t="s">
        <v>20</v>
      </c>
      <c r="B50" cm="1">
        <f t="array" ref="B50:E53">TRANSPOSE(Planilha1!B70:E73)</f>
        <v>1</v>
      </c>
      <c r="C50">
        <v>0</v>
      </c>
      <c r="D50">
        <v>0</v>
      </c>
      <c r="E50">
        <v>0</v>
      </c>
    </row>
    <row r="51" spans="1:5">
      <c r="A51" s="26"/>
      <c r="B51">
        <v>0</v>
      </c>
      <c r="C51">
        <v>1</v>
      </c>
      <c r="D51">
        <v>0</v>
      </c>
      <c r="E51">
        <v>0</v>
      </c>
    </row>
    <row r="52" spans="1:5">
      <c r="A52" s="26"/>
      <c r="B52">
        <v>0</v>
      </c>
      <c r="C52">
        <v>0</v>
      </c>
      <c r="D52">
        <v>1.2</v>
      </c>
      <c r="E52">
        <v>-0.2</v>
      </c>
    </row>
    <row r="53" spans="1:5">
      <c r="A53" s="26"/>
      <c r="B53">
        <v>0</v>
      </c>
      <c r="C53">
        <v>0</v>
      </c>
      <c r="D53">
        <v>1</v>
      </c>
      <c r="E53">
        <v>0</v>
      </c>
    </row>
    <row r="54" spans="1:5">
      <c r="A54" s="1"/>
    </row>
    <row r="55" spans="1:5">
      <c r="A55" s="26" t="s">
        <v>21</v>
      </c>
      <c r="B55" cm="1">
        <f t="array" ref="B55:E58">TRANSPOSE(Planilha1!B75:E78)</f>
        <v>1</v>
      </c>
      <c r="C55">
        <v>0</v>
      </c>
      <c r="D55">
        <v>0</v>
      </c>
      <c r="E55">
        <v>0.5</v>
      </c>
    </row>
    <row r="56" spans="1:5">
      <c r="A56" s="26"/>
      <c r="B56">
        <v>0</v>
      </c>
      <c r="C56">
        <v>1</v>
      </c>
      <c r="D56">
        <v>0</v>
      </c>
      <c r="E56">
        <v>0.5</v>
      </c>
    </row>
    <row r="57" spans="1:5">
      <c r="A57" s="26"/>
      <c r="B57">
        <v>0</v>
      </c>
      <c r="C57">
        <v>0</v>
      </c>
      <c r="D57">
        <v>1</v>
      </c>
      <c r="E57">
        <v>0.5</v>
      </c>
    </row>
    <row r="58" spans="1:5">
      <c r="A58" s="26"/>
      <c r="B58">
        <v>0</v>
      </c>
      <c r="C58">
        <v>0</v>
      </c>
      <c r="D58">
        <v>0</v>
      </c>
      <c r="E58">
        <v>1</v>
      </c>
    </row>
    <row r="60" spans="1:5">
      <c r="A60" s="26" t="s">
        <v>22</v>
      </c>
      <c r="B60" s="1">
        <v>1</v>
      </c>
      <c r="C60" s="1">
        <v>0</v>
      </c>
      <c r="D60" s="1">
        <v>0</v>
      </c>
      <c r="E60" s="12">
        <v>0</v>
      </c>
    </row>
    <row r="61" spans="1:5">
      <c r="A61" s="26"/>
      <c r="B61" s="1">
        <v>0</v>
      </c>
      <c r="C61" s="1">
        <v>-1</v>
      </c>
      <c r="D61" s="1">
        <v>0</v>
      </c>
      <c r="E61" s="12">
        <v>0</v>
      </c>
    </row>
    <row r="62" spans="1:5">
      <c r="A62" s="26"/>
      <c r="B62" s="1">
        <v>0</v>
      </c>
      <c r="C62" s="1">
        <v>0</v>
      </c>
      <c r="D62" s="1">
        <v>1</v>
      </c>
      <c r="E62" s="12">
        <v>0</v>
      </c>
    </row>
    <row r="63" spans="1:5">
      <c r="A63" s="26"/>
      <c r="B63" s="21">
        <v>0</v>
      </c>
      <c r="C63" s="1">
        <v>0</v>
      </c>
      <c r="D63" s="1">
        <v>0</v>
      </c>
      <c r="E63" s="12">
        <v>1</v>
      </c>
    </row>
  </sheetData>
  <mergeCells count="10">
    <mergeCell ref="A4:I4"/>
    <mergeCell ref="G20:G23"/>
    <mergeCell ref="A60:A63"/>
    <mergeCell ref="A45:A48"/>
    <mergeCell ref="A50:A53"/>
    <mergeCell ref="A55:A58"/>
    <mergeCell ref="A20:A23"/>
    <mergeCell ref="A25:A28"/>
    <mergeCell ref="A30:A33"/>
    <mergeCell ref="A35:A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1BD66-ECEE-4C19-9F75-3F099BAEE574}">
  <dimension ref="A1:X78"/>
  <sheetViews>
    <sheetView zoomScaleNormal="100" workbookViewId="0">
      <selection activeCell="B65" sqref="B65"/>
    </sheetView>
  </sheetViews>
  <sheetFormatPr defaultRowHeight="15"/>
  <cols>
    <col min="1" max="1" width="9.140625" style="1"/>
    <col min="2" max="2" width="11.28515625" style="1" bestFit="1" customWidth="1"/>
    <col min="3" max="7" width="9.140625" style="1"/>
    <col min="8" max="8" width="9" style="1" customWidth="1"/>
    <col min="9" max="11" width="9.140625" style="1"/>
    <col min="12" max="12" width="12" style="1" bestFit="1" customWidth="1"/>
    <col min="13" max="16384" width="9.140625" style="1"/>
  </cols>
  <sheetData>
    <row r="1" spans="1:23" ht="15.75">
      <c r="A1" s="14" t="s">
        <v>23</v>
      </c>
      <c r="B1" s="14"/>
      <c r="C1" s="14"/>
      <c r="D1" s="14"/>
    </row>
    <row r="2" spans="1:23" ht="15.75">
      <c r="A2" s="14" t="s">
        <v>24</v>
      </c>
      <c r="B2" s="14"/>
      <c r="C2" s="14"/>
      <c r="D2" s="14"/>
    </row>
    <row r="3" spans="1:23" ht="15.75">
      <c r="A3" s="14" t="s">
        <v>25</v>
      </c>
      <c r="B3" s="14"/>
      <c r="C3" s="14"/>
      <c r="D3" s="14"/>
    </row>
    <row r="4" spans="1:23" ht="15.75">
      <c r="A4" s="14" t="s">
        <v>26</v>
      </c>
      <c r="B4" s="14"/>
      <c r="C4" s="14"/>
      <c r="D4" s="14"/>
    </row>
    <row r="6" spans="1:23">
      <c r="A6" s="24" t="s">
        <v>0</v>
      </c>
      <c r="B6" s="24"/>
      <c r="C6" s="24"/>
      <c r="D6" s="24"/>
      <c r="E6" s="24"/>
      <c r="F6" s="24"/>
      <c r="G6" s="24"/>
      <c r="H6" s="24"/>
      <c r="I6" s="24"/>
    </row>
    <row r="7" spans="1:23">
      <c r="A7" s="22"/>
      <c r="B7" s="22" t="s">
        <v>1</v>
      </c>
      <c r="C7" s="22" t="s">
        <v>2</v>
      </c>
      <c r="D7" s="22" t="s">
        <v>3</v>
      </c>
      <c r="E7" s="22" t="s">
        <v>4</v>
      </c>
      <c r="F7" s="22" t="s">
        <v>5</v>
      </c>
      <c r="G7" s="22" t="s">
        <v>6</v>
      </c>
      <c r="H7" s="22" t="s">
        <v>7</v>
      </c>
      <c r="I7" s="22" t="s">
        <v>8</v>
      </c>
    </row>
    <row r="8" spans="1:23">
      <c r="A8" s="22" t="s">
        <v>9</v>
      </c>
      <c r="B8" s="22">
        <v>0</v>
      </c>
      <c r="C8" s="22">
        <v>1</v>
      </c>
      <c r="D8" s="22">
        <v>0</v>
      </c>
      <c r="E8" s="22">
        <v>1</v>
      </c>
      <c r="F8" s="22">
        <v>0</v>
      </c>
      <c r="G8" s="22">
        <v>1</v>
      </c>
      <c r="H8" s="22">
        <v>0</v>
      </c>
      <c r="I8" s="22">
        <v>1</v>
      </c>
    </row>
    <row r="9" spans="1:23">
      <c r="A9" s="22" t="s">
        <v>10</v>
      </c>
      <c r="B9" s="22">
        <v>0</v>
      </c>
      <c r="C9" s="22">
        <v>0</v>
      </c>
      <c r="D9" s="22">
        <v>1</v>
      </c>
      <c r="E9" s="22">
        <v>1</v>
      </c>
      <c r="F9" s="22">
        <v>0</v>
      </c>
      <c r="G9" s="22">
        <v>0</v>
      </c>
      <c r="H9" s="22">
        <v>1</v>
      </c>
      <c r="I9" s="22">
        <v>1</v>
      </c>
    </row>
    <row r="10" spans="1:23">
      <c r="A10" s="22" t="s">
        <v>11</v>
      </c>
      <c r="B10" s="22">
        <v>0</v>
      </c>
      <c r="C10" s="22">
        <v>0</v>
      </c>
      <c r="D10" s="22">
        <v>0</v>
      </c>
      <c r="E10" s="22">
        <v>0</v>
      </c>
      <c r="F10" s="22">
        <v>1</v>
      </c>
      <c r="G10" s="22">
        <v>1</v>
      </c>
      <c r="H10" s="22">
        <v>1</v>
      </c>
      <c r="I10" s="22">
        <v>1</v>
      </c>
    </row>
    <row r="11" spans="1:23">
      <c r="A11" s="1" t="s">
        <v>12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</row>
    <row r="12" spans="1:23">
      <c r="A12" s="9" t="s">
        <v>27</v>
      </c>
      <c r="B12" s="10">
        <v>30</v>
      </c>
      <c r="C12" s="10">
        <v>40</v>
      </c>
      <c r="D12" s="11">
        <v>100</v>
      </c>
    </row>
    <row r="13" spans="1:23" ht="15.75" customHeight="1">
      <c r="H13" s="28" t="s">
        <v>28</v>
      </c>
      <c r="I13" s="29"/>
      <c r="J13" s="29"/>
      <c r="K13" s="30"/>
      <c r="M13" s="13" t="s">
        <v>29</v>
      </c>
      <c r="N13" s="2"/>
      <c r="S13" s="1" t="s">
        <v>30</v>
      </c>
      <c r="T13" s="21" cm="1">
        <f t="array" ref="T13:V13">B12:D12-B14:D14</f>
        <v>29</v>
      </c>
      <c r="U13" s="1">
        <v>38</v>
      </c>
      <c r="V13" s="1">
        <v>99</v>
      </c>
      <c r="W13" s="21"/>
    </row>
    <row r="14" spans="1:23" ht="15.75" customHeight="1">
      <c r="A14" s="9" t="s">
        <v>20</v>
      </c>
      <c r="B14" s="10">
        <v>1</v>
      </c>
      <c r="C14" s="10">
        <v>2</v>
      </c>
      <c r="D14" s="11">
        <v>1</v>
      </c>
      <c r="H14" s="3" t="s">
        <v>31</v>
      </c>
      <c r="I14" s="4">
        <v>-10</v>
      </c>
      <c r="J14" s="4" t="s">
        <v>32</v>
      </c>
      <c r="K14" s="5">
        <v>10</v>
      </c>
      <c r="M14" s="3" t="s">
        <v>33</v>
      </c>
      <c r="N14" s="5">
        <f>(I20+K20)/2</f>
        <v>550</v>
      </c>
    </row>
    <row r="15" spans="1:23" ht="15.75" customHeight="1">
      <c r="H15" s="6" t="s">
        <v>34</v>
      </c>
      <c r="I15" s="7">
        <v>-8</v>
      </c>
      <c r="J15" s="7" t="s">
        <v>35</v>
      </c>
      <c r="K15" s="8">
        <v>8</v>
      </c>
      <c r="M15" s="6" t="s">
        <v>36</v>
      </c>
      <c r="N15" s="8">
        <f>(K21+I21)/2</f>
        <v>600</v>
      </c>
      <c r="S15" s="1" t="s">
        <v>37</v>
      </c>
      <c r="T15" s="21" cm="1">
        <f t="array" ref="T15:V15">_xlfn.ANCHORARRAY(T13)/SQRT(T13^2+U13^2+V13^2)</f>
        <v>0.26378901301806557</v>
      </c>
      <c r="U15" s="1">
        <v>0.34565456878229284</v>
      </c>
      <c r="V15" s="1">
        <v>0.90052111340649976</v>
      </c>
      <c r="W15" s="21"/>
    </row>
    <row r="16" spans="1:23" ht="15.75" customHeight="1">
      <c r="A16" s="9" t="s">
        <v>38</v>
      </c>
      <c r="B16" s="10">
        <v>0</v>
      </c>
      <c r="C16" s="10">
        <v>1</v>
      </c>
      <c r="D16" s="11">
        <v>0</v>
      </c>
    </row>
    <row r="17" spans="1:24">
      <c r="H17" s="9" t="s">
        <v>39</v>
      </c>
      <c r="I17" s="10">
        <f>near/far</f>
        <v>0.16666666666666666</v>
      </c>
      <c r="J17" s="10" t="s">
        <v>40</v>
      </c>
      <c r="K17" s="11">
        <v>1</v>
      </c>
      <c r="M17" s="9" t="s">
        <v>41</v>
      </c>
      <c r="N17" s="10">
        <v>900</v>
      </c>
      <c r="O17" s="10" t="s">
        <v>42</v>
      </c>
      <c r="P17" s="11">
        <v>600</v>
      </c>
      <c r="S17" s="1" t="s">
        <v>43</v>
      </c>
      <c r="T17" s="21" cm="1">
        <f t="array" ref="T17:V17">SUMPRODUCT(B16:D16,_xlfn.ANCHORARRAY(T15))*_xlfn.ANCHORARRAY(T15)</f>
        <v>9.1179877544266083E-2</v>
      </c>
      <c r="U17" s="1">
        <v>0.11947708092007281</v>
      </c>
      <c r="V17" s="12">
        <v>0.31126923713387389</v>
      </c>
    </row>
    <row r="19" spans="1:24">
      <c r="A19" s="15" t="s">
        <v>44</v>
      </c>
      <c r="H19" s="16" t="s">
        <v>45</v>
      </c>
      <c r="I19" s="18"/>
      <c r="J19" s="18"/>
      <c r="K19" s="17"/>
      <c r="M19" s="16" t="s">
        <v>46</v>
      </c>
      <c r="N19" s="17"/>
      <c r="S19" s="1" t="s">
        <v>47</v>
      </c>
      <c r="T19" s="21" cm="1">
        <f t="array" ref="T19:V19">B16:D16-_xlfn.ANCHORARRAY(T17)</f>
        <v>-9.1179877544266083E-2</v>
      </c>
      <c r="U19" s="1">
        <v>0.88052291907992719</v>
      </c>
      <c r="V19" s="12">
        <v>-0.31126923713387389</v>
      </c>
    </row>
    <row r="20" spans="1:24">
      <c r="A20" s="27" t="s">
        <v>13</v>
      </c>
      <c r="B20" s="1">
        <v>1</v>
      </c>
      <c r="C20" s="1">
        <v>0</v>
      </c>
      <c r="D20" s="1">
        <v>0</v>
      </c>
      <c r="E20" s="12">
        <v>0</v>
      </c>
      <c r="H20" s="3" t="s">
        <v>48</v>
      </c>
      <c r="I20" s="4">
        <v>100</v>
      </c>
      <c r="J20" s="4" t="s">
        <v>49</v>
      </c>
      <c r="K20" s="5">
        <v>1000</v>
      </c>
      <c r="M20" s="3" t="s">
        <v>50</v>
      </c>
      <c r="N20" s="5">
        <f>K20-I20</f>
        <v>900</v>
      </c>
    </row>
    <row r="21" spans="1:24">
      <c r="A21" s="27"/>
      <c r="B21" s="1">
        <v>0</v>
      </c>
      <c r="C21" s="1">
        <v>1</v>
      </c>
      <c r="D21" s="1">
        <v>0</v>
      </c>
      <c r="E21" s="12">
        <v>0</v>
      </c>
      <c r="H21" s="6" t="s">
        <v>51</v>
      </c>
      <c r="I21" s="7">
        <v>300</v>
      </c>
      <c r="J21" s="7" t="s">
        <v>52</v>
      </c>
      <c r="K21" s="8">
        <v>900</v>
      </c>
      <c r="M21" s="3" t="s">
        <v>53</v>
      </c>
      <c r="N21" s="5">
        <f>K21-I21</f>
        <v>600</v>
      </c>
      <c r="P21" s="23">
        <f>N20/N21</f>
        <v>1.5</v>
      </c>
      <c r="S21" s="1" t="s">
        <v>54</v>
      </c>
      <c r="T21" s="21" cm="1">
        <f t="array" ref="T21:V21">_xlfn.ANCHORARRAY(T19)/SQRT(T19^2+U19^2+V19^2)</f>
        <v>-9.7169210089307248E-2</v>
      </c>
      <c r="U21" s="1">
        <v>0.93836182737786555</v>
      </c>
      <c r="V21" s="1">
        <v>-0.33171557927039375</v>
      </c>
      <c r="W21" s="21"/>
    </row>
    <row r="22" spans="1:24">
      <c r="A22" s="27"/>
      <c r="B22" s="1">
        <v>0</v>
      </c>
      <c r="C22" s="1">
        <v>0</v>
      </c>
      <c r="D22" s="1">
        <v>1</v>
      </c>
      <c r="E22" s="12">
        <v>0</v>
      </c>
      <c r="M22" s="3" t="s">
        <v>30</v>
      </c>
      <c r="N22" s="5">
        <v>20</v>
      </c>
    </row>
    <row r="23" spans="1:24">
      <c r="A23" s="27"/>
      <c r="B23" s="1" cm="1">
        <f t="array" ref="B23:D23">-B12:D12</f>
        <v>-30</v>
      </c>
      <c r="C23" s="1">
        <v>-40</v>
      </c>
      <c r="D23" s="1">
        <v>-100</v>
      </c>
      <c r="E23" s="12">
        <v>1</v>
      </c>
      <c r="H23" s="9" t="s">
        <v>55</v>
      </c>
      <c r="I23" s="11">
        <v>50</v>
      </c>
      <c r="M23" s="6" t="s">
        <v>56</v>
      </c>
      <c r="N23" s="8">
        <v>120</v>
      </c>
      <c r="S23" s="1" t="s">
        <v>57</v>
      </c>
      <c r="T23" s="21">
        <v>0.95960000000000001</v>
      </c>
      <c r="U23" s="1">
        <v>0</v>
      </c>
      <c r="V23" s="1">
        <v>-0.28100000000000003</v>
      </c>
      <c r="W23" s="21"/>
    </row>
    <row r="25" spans="1:24">
      <c r="A25" s="27" t="s">
        <v>15</v>
      </c>
      <c r="B25" s="1" cm="1">
        <f t="array" ref="B25:D27">B</f>
        <v>0.95960000000000001</v>
      </c>
      <c r="C25" s="1">
        <v>-9.7169210089307248E-2</v>
      </c>
      <c r="D25" s="1">
        <v>0.26378901301806557</v>
      </c>
      <c r="E25" s="12">
        <v>0</v>
      </c>
    </row>
    <row r="26" spans="1:24">
      <c r="A26" s="27"/>
      <c r="B26" s="1">
        <v>0</v>
      </c>
      <c r="C26" s="1">
        <v>0.93836182737786555</v>
      </c>
      <c r="D26" s="1">
        <v>0.34565456878229284</v>
      </c>
      <c r="E26" s="12">
        <v>0</v>
      </c>
      <c r="H26" s="15"/>
      <c r="M26" s="1" t="s">
        <v>58</v>
      </c>
      <c r="N26" s="1">
        <f>AR*(VRES/HRES)</f>
        <v>2.25</v>
      </c>
      <c r="S26" s="12" t="s">
        <v>15</v>
      </c>
      <c r="T26" s="1" cm="1">
        <f t="array" ref="T26:T28">TRANSPOSE(u)</f>
        <v>0.95960000000000001</v>
      </c>
      <c r="U26" s="1" cm="1">
        <f t="array" ref="U26:U28">TRANSPOSE(_xlfn.ANCHORARRAY(T21))</f>
        <v>-9.7169210089307248E-2</v>
      </c>
      <c r="V26" s="12" cm="1">
        <f t="array" ref="V26:V28">TRANSPOSE(_xlfn.ANCHORARRAY(T15))</f>
        <v>0.26378901301806557</v>
      </c>
    </row>
    <row r="27" spans="1:24">
      <c r="A27" s="27"/>
      <c r="B27" s="1">
        <v>-0.28100000000000003</v>
      </c>
      <c r="C27" s="1">
        <v>-0.33171557927039375</v>
      </c>
      <c r="D27" s="1">
        <v>0.90052111340649976</v>
      </c>
      <c r="E27" s="12">
        <v>0</v>
      </c>
      <c r="G27" s="1" t="s">
        <v>59</v>
      </c>
      <c r="H27" s="20" cm="1">
        <f t="array" ref="H27:K30">MMULT(B20:E23,B25:E28)</f>
        <v>0.95960000000000001</v>
      </c>
      <c r="I27" s="1">
        <v>-9.7169210089307248E-2</v>
      </c>
      <c r="J27" s="1">
        <v>0.26378901301806557</v>
      </c>
      <c r="K27" s="19">
        <v>0</v>
      </c>
      <c r="S27" s="12"/>
      <c r="T27" s="1">
        <v>0</v>
      </c>
      <c r="U27" s="1">
        <v>0.93836182737786555</v>
      </c>
      <c r="V27" s="12">
        <v>0.34565456878229284</v>
      </c>
    </row>
    <row r="28" spans="1:24">
      <c r="A28" s="27"/>
      <c r="B28" s="1">
        <v>0</v>
      </c>
      <c r="C28" s="1">
        <v>0</v>
      </c>
      <c r="D28" s="1">
        <v>0</v>
      </c>
      <c r="E28" s="12">
        <v>1</v>
      </c>
      <c r="H28" s="20">
        <v>0</v>
      </c>
      <c r="I28" s="1">
        <v>0.93836182737786555</v>
      </c>
      <c r="J28" s="1">
        <v>0.34565456878229284</v>
      </c>
      <c r="K28" s="19">
        <v>0</v>
      </c>
      <c r="S28" s="12"/>
      <c r="T28" s="1">
        <v>-0.28100000000000003</v>
      </c>
      <c r="U28" s="1">
        <v>-0.33171557927039375</v>
      </c>
      <c r="V28" s="12">
        <v>0.90052111340649976</v>
      </c>
    </row>
    <row r="29" spans="1:24">
      <c r="H29" s="20">
        <v>-0.28100000000000003</v>
      </c>
      <c r="I29" s="1">
        <v>-0.33171557927039375</v>
      </c>
      <c r="J29" s="1">
        <v>0.90052111340649976</v>
      </c>
      <c r="K29" s="19">
        <v>0</v>
      </c>
      <c r="X29" s="12"/>
    </row>
    <row r="30" spans="1:24">
      <c r="A30" s="27" t="s">
        <v>16</v>
      </c>
      <c r="B30" s="1">
        <f>I23/(N20*N23)</f>
        <v>4.6296296296296298E-4</v>
      </c>
      <c r="C30" s="1">
        <v>0</v>
      </c>
      <c r="D30" s="1">
        <v>0</v>
      </c>
      <c r="E30" s="12">
        <v>0</v>
      </c>
      <c r="H30" s="20">
        <v>-0.68799999999999883</v>
      </c>
      <c r="I30" s="1">
        <v>-1.4478388653960295</v>
      </c>
      <c r="J30" s="1">
        <v>-111.79196448248365</v>
      </c>
      <c r="K30" s="19">
        <v>1</v>
      </c>
      <c r="X30" s="12"/>
    </row>
    <row r="31" spans="1:24">
      <c r="A31" s="27"/>
      <c r="B31" s="1">
        <v>0</v>
      </c>
      <c r="C31" s="1">
        <f>I23/(N21*N23)</f>
        <v>6.9444444444444447E-4</v>
      </c>
      <c r="D31" s="1">
        <v>0</v>
      </c>
      <c r="E31" s="12">
        <v>0</v>
      </c>
      <c r="X31" s="12"/>
    </row>
    <row r="32" spans="1:24">
      <c r="A32" s="27"/>
      <c r="B32" s="1">
        <v>0</v>
      </c>
      <c r="C32" s="1">
        <v>0</v>
      </c>
      <c r="D32" s="1">
        <f>1/N23</f>
        <v>8.3333333333333332E-3</v>
      </c>
      <c r="E32" s="12">
        <v>0</v>
      </c>
      <c r="G32" s="1" t="s">
        <v>60</v>
      </c>
      <c r="H32" s="20" cm="1">
        <f t="array" ref="H32:K35">MMULT(B40:E43,B45:E48)</f>
        <v>0.41666666666666669</v>
      </c>
      <c r="I32" s="1">
        <v>0</v>
      </c>
      <c r="J32" s="1">
        <v>0</v>
      </c>
      <c r="K32" s="19">
        <v>0</v>
      </c>
      <c r="X32" s="12"/>
    </row>
    <row r="33" spans="1:24">
      <c r="A33" s="27"/>
      <c r="B33" s="1">
        <v>0</v>
      </c>
      <c r="C33" s="1">
        <v>0</v>
      </c>
      <c r="D33" s="1">
        <v>0</v>
      </c>
      <c r="E33" s="12">
        <v>1</v>
      </c>
      <c r="H33" s="20">
        <v>0</v>
      </c>
      <c r="I33" s="1">
        <v>0.41666666666666669</v>
      </c>
      <c r="J33" s="1">
        <v>0</v>
      </c>
      <c r="K33" s="19">
        <v>0</v>
      </c>
    </row>
    <row r="34" spans="1:24">
      <c r="H34" s="20">
        <v>0</v>
      </c>
      <c r="I34" s="1">
        <v>0</v>
      </c>
      <c r="J34" s="1">
        <v>8.3333333333333332E-3</v>
      </c>
      <c r="K34" s="19">
        <v>0</v>
      </c>
    </row>
    <row r="35" spans="1:24">
      <c r="A35" s="27" t="s">
        <v>17</v>
      </c>
      <c r="B35" s="1">
        <v>1</v>
      </c>
      <c r="C35" s="1">
        <v>0</v>
      </c>
      <c r="D35" s="1">
        <v>0</v>
      </c>
      <c r="E35" s="12">
        <v>0</v>
      </c>
      <c r="H35" s="20">
        <v>0</v>
      </c>
      <c r="I35" s="1">
        <v>0</v>
      </c>
      <c r="J35" s="1">
        <v>0</v>
      </c>
      <c r="K35" s="19">
        <v>1</v>
      </c>
    </row>
    <row r="36" spans="1:24">
      <c r="A36" s="27"/>
      <c r="B36" s="1">
        <v>0</v>
      </c>
      <c r="C36" s="1">
        <v>1</v>
      </c>
      <c r="D36" s="1">
        <v>0</v>
      </c>
      <c r="E36" s="12">
        <v>0</v>
      </c>
      <c r="T36" s="12" t="s">
        <v>61</v>
      </c>
      <c r="U36" s="1" cm="1">
        <f t="array" ref="U36:X39">MMULT(_xlfn.ANCHORARRAY(H42),MMULT(B70:E73,_xlfn.ANCHORARRAY(N50)))</f>
        <v>1.198116728731255E-2</v>
      </c>
      <c r="V36" s="1">
        <v>2.6145345329477579E-3</v>
      </c>
      <c r="W36" s="1">
        <v>4.3964835503010925E-3</v>
      </c>
      <c r="X36" s="1">
        <v>2.6378901301806557E-3</v>
      </c>
    </row>
    <row r="37" spans="1:24">
      <c r="A37" s="27"/>
      <c r="B37" s="1">
        <f>-N14/I23</f>
        <v>-11</v>
      </c>
      <c r="C37" s="1">
        <f>-N15/I23</f>
        <v>-12</v>
      </c>
      <c r="D37" s="1">
        <v>1</v>
      </c>
      <c r="E37" s="12">
        <v>0</v>
      </c>
      <c r="G37" s="1" t="s">
        <v>62</v>
      </c>
      <c r="H37" s="20">
        <f>1/N20</f>
        <v>1.1111111111111111E-3</v>
      </c>
      <c r="I37" s="1">
        <v>0</v>
      </c>
      <c r="J37" s="1">
        <v>0</v>
      </c>
      <c r="K37" s="19">
        <v>0</v>
      </c>
      <c r="T37" s="12"/>
      <c r="U37" s="1">
        <v>1.7282728439114642E-3</v>
      </c>
      <c r="V37" s="1">
        <v>-1.078321818779341E-2</v>
      </c>
      <c r="W37" s="1">
        <v>5.7609094797048807E-3</v>
      </c>
      <c r="X37" s="1">
        <v>3.4565456878229285E-3</v>
      </c>
    </row>
    <row r="38" spans="1:24">
      <c r="A38" s="27"/>
      <c r="B38" s="1">
        <v>0</v>
      </c>
      <c r="C38" s="1">
        <v>0</v>
      </c>
      <c r="D38" s="1">
        <v>0</v>
      </c>
      <c r="E38" s="12">
        <v>1</v>
      </c>
      <c r="H38" s="20">
        <v>0</v>
      </c>
      <c r="I38" s="1">
        <f>1/N21</f>
        <v>1.6666666666666668E-3</v>
      </c>
      <c r="J38" s="1">
        <v>0</v>
      </c>
      <c r="K38" s="19">
        <v>0</v>
      </c>
      <c r="T38" s="12"/>
      <c r="U38" s="1">
        <v>1.3803833448102765E-3</v>
      </c>
      <c r="V38" s="1">
        <v>8.9254799573044163E-3</v>
      </c>
      <c r="W38" s="1">
        <v>1.5008685223441662E-2</v>
      </c>
      <c r="X38" s="1">
        <v>9.0052111340649978E-3</v>
      </c>
    </row>
    <row r="39" spans="1:24">
      <c r="H39" s="20">
        <v>0</v>
      </c>
      <c r="I39" s="1">
        <v>0</v>
      </c>
      <c r="J39" s="1">
        <f>1/(far-near)</f>
        <v>0.01</v>
      </c>
      <c r="K39" s="19">
        <v>0</v>
      </c>
      <c r="T39" s="12"/>
      <c r="U39" s="1">
        <v>-6.7777153779679749</v>
      </c>
      <c r="V39" s="1">
        <v>7.3603446957928611</v>
      </c>
      <c r="W39" s="1">
        <v>-2.3631994080413938</v>
      </c>
      <c r="X39" s="1">
        <v>-1.3179196448248365</v>
      </c>
    </row>
    <row r="40" spans="1:24">
      <c r="A40" s="26" t="s">
        <v>63</v>
      </c>
      <c r="B40" s="20">
        <f>1/far</f>
        <v>8.3333333333333332E-3</v>
      </c>
      <c r="C40" s="1">
        <v>0</v>
      </c>
      <c r="D40" s="1">
        <v>0</v>
      </c>
      <c r="E40" s="19">
        <v>0</v>
      </c>
      <c r="H40" s="20">
        <f>-N14/N20</f>
        <v>-0.61111111111111116</v>
      </c>
      <c r="I40" s="1">
        <f>-N15/N21</f>
        <v>-1</v>
      </c>
      <c r="J40" s="1">
        <f>-near/(far-near)</f>
        <v>-0.2</v>
      </c>
      <c r="K40" s="19">
        <v>1</v>
      </c>
    </row>
    <row r="41" spans="1:24">
      <c r="A41" s="26"/>
      <c r="B41" s="20">
        <v>0</v>
      </c>
      <c r="C41" s="1">
        <f>1/far</f>
        <v>8.3333333333333332E-3</v>
      </c>
      <c r="D41" s="1">
        <v>0</v>
      </c>
      <c r="E41" s="19">
        <v>0</v>
      </c>
    </row>
    <row r="42" spans="1:24">
      <c r="A42" s="26"/>
      <c r="B42" s="20">
        <v>0</v>
      </c>
      <c r="C42" s="1">
        <v>0</v>
      </c>
      <c r="D42" s="1">
        <f>1/far</f>
        <v>8.3333333333333332E-3</v>
      </c>
      <c r="E42" s="19">
        <v>0</v>
      </c>
      <c r="G42" s="1" t="s">
        <v>64</v>
      </c>
      <c r="H42" s="20" cm="1">
        <f t="array" ref="H42:K45">MMULT(_xlfn.ANCHORARRAY(H27),H37:K40)</f>
        <v>1.0662222222222223E-3</v>
      </c>
      <c r="I42" s="1">
        <v>-1.6194868348217876E-4</v>
      </c>
      <c r="J42" s="1">
        <v>2.6378901301806557E-3</v>
      </c>
      <c r="K42" s="19">
        <v>0</v>
      </c>
    </row>
    <row r="43" spans="1:24">
      <c r="A43" s="26"/>
      <c r="B43" s="20">
        <v>0</v>
      </c>
      <c r="C43" s="1">
        <v>0</v>
      </c>
      <c r="D43" s="1">
        <v>0</v>
      </c>
      <c r="E43" s="19">
        <v>1</v>
      </c>
      <c r="H43" s="20">
        <v>0</v>
      </c>
      <c r="I43" s="1">
        <v>1.5639363789631093E-3</v>
      </c>
      <c r="J43" s="1">
        <v>3.4565456878229285E-3</v>
      </c>
      <c r="K43" s="19">
        <v>0</v>
      </c>
    </row>
    <row r="44" spans="1:24">
      <c r="H44" s="20">
        <v>-3.1222222222222225E-4</v>
      </c>
      <c r="I44" s="1">
        <v>-5.5285929878398957E-4</v>
      </c>
      <c r="J44" s="1">
        <v>9.0052111340649978E-3</v>
      </c>
      <c r="K44" s="19">
        <v>0</v>
      </c>
    </row>
    <row r="45" spans="1:24">
      <c r="A45" s="26" t="s">
        <v>65</v>
      </c>
      <c r="B45" s="20">
        <f>I23</f>
        <v>50</v>
      </c>
      <c r="C45" s="1">
        <v>0</v>
      </c>
      <c r="D45" s="1">
        <v>0</v>
      </c>
      <c r="E45" s="19">
        <v>0</v>
      </c>
      <c r="H45" s="20">
        <v>-0.61187555555555562</v>
      </c>
      <c r="I45" s="1">
        <v>-1.0024130647756599</v>
      </c>
      <c r="J45" s="1">
        <v>-1.3179196448248365</v>
      </c>
      <c r="K45" s="19">
        <v>1</v>
      </c>
    </row>
    <row r="46" spans="1:24">
      <c r="A46" s="26"/>
      <c r="B46" s="20">
        <v>0</v>
      </c>
      <c r="C46" s="1">
        <f>B45</f>
        <v>50</v>
      </c>
      <c r="D46" s="1">
        <v>0</v>
      </c>
      <c r="E46" s="19">
        <v>0</v>
      </c>
    </row>
    <row r="47" spans="1:24">
      <c r="A47" s="26"/>
      <c r="B47" s="20">
        <v>0</v>
      </c>
      <c r="C47" s="1">
        <v>0</v>
      </c>
      <c r="D47" s="1">
        <v>1</v>
      </c>
      <c r="E47" s="19">
        <v>0</v>
      </c>
      <c r="G47" s="12" t="s">
        <v>22</v>
      </c>
      <c r="H47" s="1">
        <v>1</v>
      </c>
      <c r="I47" s="1">
        <v>0</v>
      </c>
      <c r="J47" s="1">
        <v>0</v>
      </c>
      <c r="K47" s="12">
        <v>0</v>
      </c>
    </row>
    <row r="48" spans="1:24">
      <c r="A48" s="26"/>
      <c r="B48" s="20">
        <v>0</v>
      </c>
      <c r="C48" s="1">
        <v>0</v>
      </c>
      <c r="D48" s="1">
        <v>0</v>
      </c>
      <c r="E48" s="19">
        <v>1</v>
      </c>
      <c r="G48" s="12"/>
      <c r="H48" s="1">
        <v>0</v>
      </c>
      <c r="I48" s="1">
        <v>-1</v>
      </c>
      <c r="J48" s="1">
        <v>0</v>
      </c>
      <c r="K48" s="12">
        <v>0</v>
      </c>
    </row>
    <row r="49" spans="1:17">
      <c r="G49" s="12"/>
      <c r="H49" s="1">
        <v>0</v>
      </c>
      <c r="I49" s="1">
        <v>0</v>
      </c>
      <c r="J49" s="1">
        <v>1</v>
      </c>
      <c r="K49" s="12">
        <v>0</v>
      </c>
    </row>
    <row r="50" spans="1:17">
      <c r="A50" s="26" t="s">
        <v>66</v>
      </c>
      <c r="B50" s="20">
        <v>1</v>
      </c>
      <c r="C50" s="1">
        <v>0</v>
      </c>
      <c r="D50" s="1">
        <v>0</v>
      </c>
      <c r="E50" s="19">
        <v>0</v>
      </c>
      <c r="H50" s="21">
        <v>0</v>
      </c>
      <c r="I50" s="1">
        <v>0</v>
      </c>
      <c r="J50" s="1">
        <v>0</v>
      </c>
      <c r="K50" s="12">
        <v>1</v>
      </c>
      <c r="M50" s="12" t="s">
        <v>67</v>
      </c>
      <c r="N50" s="1" cm="1">
        <f t="array" ref="N50:Q53">MMULT(H47:K50,MMULT(_xlfn.ANCHORARRAY(H67),B75:E78))</f>
        <v>10</v>
      </c>
      <c r="O50" s="1">
        <v>0</v>
      </c>
      <c r="P50" s="1">
        <v>0</v>
      </c>
      <c r="Q50" s="12">
        <v>0</v>
      </c>
    </row>
    <row r="51" spans="1:17">
      <c r="A51" s="26"/>
      <c r="B51" s="20">
        <v>0</v>
      </c>
      <c r="C51" s="1">
        <v>1</v>
      </c>
      <c r="D51" s="1">
        <v>0</v>
      </c>
      <c r="E51" s="19">
        <v>0</v>
      </c>
      <c r="M51" s="12"/>
      <c r="N51" s="1">
        <v>0</v>
      </c>
      <c r="O51" s="1">
        <v>-8</v>
      </c>
      <c r="P51" s="1">
        <v>0</v>
      </c>
      <c r="Q51" s="12">
        <v>0</v>
      </c>
    </row>
    <row r="52" spans="1:17">
      <c r="A52" s="26"/>
      <c r="B52" s="20">
        <f>-N14</f>
        <v>-550</v>
      </c>
      <c r="C52" s="1">
        <f>-N15</f>
        <v>-600</v>
      </c>
      <c r="D52" s="1">
        <v>1</v>
      </c>
      <c r="E52" s="19">
        <v>0</v>
      </c>
      <c r="M52" s="12"/>
      <c r="N52" s="1">
        <v>0</v>
      </c>
      <c r="O52" s="1">
        <v>0</v>
      </c>
      <c r="P52" s="1">
        <v>0.83333333333333337</v>
      </c>
      <c r="Q52" s="12">
        <v>0</v>
      </c>
    </row>
    <row r="53" spans="1:17">
      <c r="A53" s="26"/>
      <c r="B53" s="20">
        <v>0</v>
      </c>
      <c r="C53" s="1">
        <v>0</v>
      </c>
      <c r="D53" s="1">
        <v>0</v>
      </c>
      <c r="E53" s="19">
        <v>1</v>
      </c>
      <c r="M53" s="12"/>
      <c r="N53" s="1">
        <v>0.5</v>
      </c>
      <c r="O53" s="1">
        <v>0.5</v>
      </c>
      <c r="P53" s="1">
        <v>0.66666666666666663</v>
      </c>
      <c r="Q53" s="12">
        <v>1</v>
      </c>
    </row>
    <row r="55" spans="1:17">
      <c r="A55" s="26" t="s">
        <v>68</v>
      </c>
      <c r="B55" s="20">
        <f>1/N20</f>
        <v>1.1111111111111111E-3</v>
      </c>
      <c r="C55" s="1">
        <v>0</v>
      </c>
      <c r="D55" s="1">
        <v>0</v>
      </c>
      <c r="E55" s="19">
        <v>0</v>
      </c>
    </row>
    <row r="56" spans="1:17">
      <c r="A56" s="26"/>
      <c r="B56" s="20">
        <v>1</v>
      </c>
      <c r="C56" s="1">
        <f>1/N21</f>
        <v>1.6666666666666668E-3</v>
      </c>
      <c r="D56" s="1">
        <v>0</v>
      </c>
      <c r="E56" s="19">
        <v>0</v>
      </c>
      <c r="M56" s="1" t="s">
        <v>69</v>
      </c>
      <c r="N56" s="1" cm="1">
        <f t="array" ref="N56:Q59">MMULT(_xlfn.ANCHORARRAY(H27),MMULT(_xlfn.ANCHORARRAY(H32),MMULT(B50:E53,MMULT(B55:E58,MMULT(B70:E73,_xlfn.ANCHORARRAY(N50))))))</f>
        <v>-13.602214345865589</v>
      </c>
      <c r="O56" s="1">
        <v>1.922488403372024E-2</v>
      </c>
      <c r="P56" s="1">
        <v>3.6637362919175773E-3</v>
      </c>
      <c r="Q56" s="1">
        <v>2.1982417751505463E-3</v>
      </c>
    </row>
    <row r="57" spans="1:17">
      <c r="A57" s="26"/>
      <c r="B57" s="20">
        <v>0</v>
      </c>
      <c r="C57" s="1">
        <v>0</v>
      </c>
      <c r="D57" s="1">
        <v>1</v>
      </c>
      <c r="E57" s="19">
        <v>0</v>
      </c>
      <c r="N57" s="1">
        <v>-13.38905004330271</v>
      </c>
      <c r="O57" s="1">
        <v>1.9270744025535379E-2</v>
      </c>
      <c r="P57" s="1">
        <v>4.8007578997540665E-3</v>
      </c>
      <c r="Q57" s="1">
        <v>2.8804547398524403E-3</v>
      </c>
    </row>
    <row r="58" spans="1:17">
      <c r="A58" s="26"/>
      <c r="B58" s="20">
        <v>0</v>
      </c>
      <c r="C58" s="1">
        <v>0</v>
      </c>
      <c r="D58" s="1">
        <v>0</v>
      </c>
      <c r="E58" s="19">
        <v>1</v>
      </c>
      <c r="N58" s="1">
        <v>-46.451612543421106</v>
      </c>
      <c r="O58" s="1">
        <v>6.562977652890703E-2</v>
      </c>
      <c r="P58" s="1">
        <v>1.2507237686201385E-2</v>
      </c>
      <c r="Q58" s="1">
        <v>7.5043426117208309E-3</v>
      </c>
    </row>
    <row r="59" spans="1:17">
      <c r="N59" s="1">
        <v>5588.7896864501854</v>
      </c>
      <c r="O59" s="1">
        <v>-7.9105539349237253</v>
      </c>
      <c r="P59" s="1">
        <v>-1.7193328400344952</v>
      </c>
      <c r="Q59" s="1">
        <v>-0.93159970402069703</v>
      </c>
    </row>
    <row r="60" spans="1:17">
      <c r="A60" s="26" t="s">
        <v>18</v>
      </c>
      <c r="B60" s="20">
        <v>0.5</v>
      </c>
      <c r="C60" s="1">
        <v>0</v>
      </c>
      <c r="D60" s="1">
        <v>0</v>
      </c>
      <c r="E60" s="19">
        <v>0</v>
      </c>
    </row>
    <row r="61" spans="1:17">
      <c r="A61" s="26"/>
      <c r="B61" s="20">
        <v>0</v>
      </c>
      <c r="C61" s="1">
        <v>0.5</v>
      </c>
      <c r="D61" s="1">
        <v>0</v>
      </c>
      <c r="E61" s="19">
        <v>0</v>
      </c>
    </row>
    <row r="62" spans="1:17">
      <c r="A62" s="26"/>
      <c r="B62" s="20">
        <v>0</v>
      </c>
      <c r="C62" s="1">
        <v>0</v>
      </c>
      <c r="D62" s="1">
        <v>1</v>
      </c>
      <c r="E62" s="19">
        <v>0</v>
      </c>
    </row>
    <row r="63" spans="1:17">
      <c r="A63" s="26"/>
      <c r="B63" s="20">
        <v>0.5</v>
      </c>
      <c r="C63" s="1">
        <v>0.5</v>
      </c>
      <c r="D63" s="1">
        <v>0</v>
      </c>
      <c r="E63" s="19">
        <v>1</v>
      </c>
    </row>
    <row r="65" spans="1:23">
      <c r="A65" s="26" t="s">
        <v>19</v>
      </c>
      <c r="B65" s="20">
        <f>K14-I14</f>
        <v>20</v>
      </c>
      <c r="C65" s="1">
        <v>0</v>
      </c>
      <c r="D65" s="1">
        <v>0</v>
      </c>
      <c r="E65" s="19">
        <v>0</v>
      </c>
    </row>
    <row r="66" spans="1:23">
      <c r="A66" s="26"/>
      <c r="B66" s="20">
        <v>0</v>
      </c>
      <c r="C66" s="1">
        <f>K15-I15</f>
        <v>16</v>
      </c>
      <c r="D66" s="1">
        <v>0</v>
      </c>
      <c r="E66" s="19">
        <v>0</v>
      </c>
    </row>
    <row r="67" spans="1:23">
      <c r="A67" s="26"/>
      <c r="B67" s="20">
        <v>0</v>
      </c>
      <c r="C67" s="1">
        <v>0</v>
      </c>
      <c r="D67" s="1">
        <f>1-I17</f>
        <v>0.83333333333333337</v>
      </c>
      <c r="E67" s="19">
        <v>0</v>
      </c>
      <c r="G67" s="19" t="s">
        <v>70</v>
      </c>
      <c r="H67" s="20" cm="1">
        <f t="array" ref="H67:K70">MMULT(B60:E63,B65:E68)</f>
        <v>10</v>
      </c>
      <c r="I67" s="1">
        <v>0</v>
      </c>
      <c r="J67" s="1">
        <v>0</v>
      </c>
      <c r="K67" s="19">
        <v>0</v>
      </c>
      <c r="S67" s="1" t="s">
        <v>71</v>
      </c>
    </row>
    <row r="68" spans="1:23">
      <c r="A68" s="26"/>
      <c r="B68" s="20">
        <f>I14</f>
        <v>-10</v>
      </c>
      <c r="C68" s="1">
        <f>I15</f>
        <v>-8</v>
      </c>
      <c r="D68" s="1">
        <f>I17</f>
        <v>0.16666666666666666</v>
      </c>
      <c r="E68" s="19">
        <v>1</v>
      </c>
      <c r="G68" s="19"/>
      <c r="H68" s="20">
        <v>0</v>
      </c>
      <c r="I68" s="1">
        <v>8</v>
      </c>
      <c r="J68" s="1">
        <v>0</v>
      </c>
      <c r="K68" s="19">
        <v>0</v>
      </c>
      <c r="R68" s="12"/>
      <c r="S68" s="1" cm="1">
        <f t="array" ref="S68:W71">MMULT(_xlfn.ANCHORARRAY(N56),B8:F11)</f>
        <v>2.1982417751505463E-3</v>
      </c>
      <c r="T68" s="1">
        <v>-13.600016104090438</v>
      </c>
      <c r="U68" s="1">
        <v>2.1423125808870784E-2</v>
      </c>
      <c r="V68" s="1">
        <v>-13.580791220056717</v>
      </c>
      <c r="W68" s="12">
        <v>5.861978067068124E-3</v>
      </c>
    </row>
    <row r="69" spans="1:23">
      <c r="G69" s="19"/>
      <c r="H69" s="20">
        <v>0</v>
      </c>
      <c r="I69" s="1">
        <v>0</v>
      </c>
      <c r="J69" s="1">
        <v>0.83333333333333337</v>
      </c>
      <c r="K69" s="19">
        <v>0</v>
      </c>
      <c r="R69" s="12"/>
      <c r="S69" s="1">
        <v>2.8804547398524403E-3</v>
      </c>
      <c r="T69" s="1">
        <v>-13.386169588562858</v>
      </c>
      <c r="U69" s="1">
        <v>2.215119876538782E-2</v>
      </c>
      <c r="V69" s="1">
        <v>-13.366898844537323</v>
      </c>
      <c r="W69" s="12">
        <v>7.6812126396065064E-3</v>
      </c>
    </row>
    <row r="70" spans="1:23">
      <c r="A70" s="26" t="s">
        <v>20</v>
      </c>
      <c r="B70" s="20">
        <v>1</v>
      </c>
      <c r="C70" s="1">
        <v>0</v>
      </c>
      <c r="D70" s="1">
        <v>0</v>
      </c>
      <c r="E70" s="19">
        <v>0</v>
      </c>
      <c r="G70" s="19"/>
      <c r="H70" s="20">
        <v>0</v>
      </c>
      <c r="I70" s="1">
        <v>0</v>
      </c>
      <c r="J70" s="1">
        <v>0.16666666666666666</v>
      </c>
      <c r="K70" s="19">
        <v>1</v>
      </c>
      <c r="R70" s="12"/>
      <c r="S70" s="1">
        <v>7.5043426117208309E-3</v>
      </c>
      <c r="T70" s="1">
        <v>-46.444108200809389</v>
      </c>
      <c r="U70" s="1">
        <v>7.3134119140627868E-2</v>
      </c>
      <c r="V70" s="1">
        <v>-46.37847842428048</v>
      </c>
      <c r="W70" s="12">
        <v>2.0011580297922216E-2</v>
      </c>
    </row>
    <row r="71" spans="1:23">
      <c r="A71" s="26"/>
      <c r="B71" s="20">
        <v>0</v>
      </c>
      <c r="C71" s="1">
        <v>1</v>
      </c>
      <c r="D71" s="1">
        <v>0</v>
      </c>
      <c r="E71" s="19">
        <v>0</v>
      </c>
      <c r="R71" s="12"/>
      <c r="S71" s="1">
        <v>-0.93159970402069703</v>
      </c>
      <c r="T71" s="1">
        <v>5587.8580867461651</v>
      </c>
      <c r="U71" s="1">
        <v>-8.8421536389444224</v>
      </c>
      <c r="V71" s="1">
        <v>5579.9475328112412</v>
      </c>
      <c r="W71" s="12">
        <v>-2.6509325440551921</v>
      </c>
    </row>
    <row r="72" spans="1:23">
      <c r="A72" s="26"/>
      <c r="B72" s="20">
        <v>0</v>
      </c>
      <c r="C72" s="1">
        <v>0</v>
      </c>
      <c r="D72" s="1">
        <f>far/(far-near)</f>
        <v>1.2</v>
      </c>
      <c r="E72" s="19">
        <v>1</v>
      </c>
    </row>
    <row r="73" spans="1:23">
      <c r="A73" s="26"/>
      <c r="B73" s="20">
        <v>0</v>
      </c>
      <c r="C73" s="1">
        <v>0</v>
      </c>
      <c r="D73" s="1">
        <f>-near/(far-near)</f>
        <v>-0.2</v>
      </c>
      <c r="E73" s="19">
        <v>0</v>
      </c>
    </row>
    <row r="75" spans="1:23">
      <c r="A75" s="26" t="s">
        <v>21</v>
      </c>
      <c r="B75" s="20">
        <v>1</v>
      </c>
      <c r="C75" s="1">
        <v>0</v>
      </c>
      <c r="D75" s="1">
        <v>0</v>
      </c>
      <c r="E75" s="19">
        <v>0</v>
      </c>
    </row>
    <row r="76" spans="1:23">
      <c r="A76" s="26"/>
      <c r="B76" s="20">
        <v>0</v>
      </c>
      <c r="C76" s="1">
        <v>1</v>
      </c>
      <c r="D76" s="1">
        <v>0</v>
      </c>
      <c r="E76" s="19">
        <v>0</v>
      </c>
    </row>
    <row r="77" spans="1:23">
      <c r="A77" s="26"/>
      <c r="B77" s="20">
        <v>0</v>
      </c>
      <c r="C77" s="1">
        <v>0</v>
      </c>
      <c r="D77" s="1">
        <v>1</v>
      </c>
      <c r="E77" s="19">
        <v>0</v>
      </c>
    </row>
    <row r="78" spans="1:23">
      <c r="A78" s="26"/>
      <c r="B78" s="20">
        <v>0.5</v>
      </c>
      <c r="C78" s="1">
        <v>0.5</v>
      </c>
      <c r="D78" s="1">
        <v>0.5</v>
      </c>
      <c r="E78" s="19">
        <v>1</v>
      </c>
    </row>
  </sheetData>
  <mergeCells count="14">
    <mergeCell ref="A6:I6"/>
    <mergeCell ref="H13:K13"/>
    <mergeCell ref="A20:A23"/>
    <mergeCell ref="A25:A28"/>
    <mergeCell ref="A30:A33"/>
    <mergeCell ref="A35:A38"/>
    <mergeCell ref="A70:A73"/>
    <mergeCell ref="A65:A68"/>
    <mergeCell ref="A75:A78"/>
    <mergeCell ref="A40:A43"/>
    <mergeCell ref="A45:A48"/>
    <mergeCell ref="A50:A53"/>
    <mergeCell ref="A55:A58"/>
    <mergeCell ref="A60:A63"/>
  </mergeCells>
  <pageMargins left="0.511811024" right="0.511811024" top="0.78740157499999996" bottom="0.78740157499999996" header="0.31496062000000002" footer="0.31496062000000002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Vinicius Vieira Viana</dc:creator>
  <cp:keywords/>
  <dc:description/>
  <cp:lastModifiedBy/>
  <cp:revision/>
  <dcterms:created xsi:type="dcterms:W3CDTF">2025-10-05T00:18:12Z</dcterms:created>
  <dcterms:modified xsi:type="dcterms:W3CDTF">2026-01-22T20:24:52Z</dcterms:modified>
  <cp:category/>
  <cp:contentStatus/>
</cp:coreProperties>
</file>