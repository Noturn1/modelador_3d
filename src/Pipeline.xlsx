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ioestebr-my.sharepoint.com/personal/vinicius_viana_unioeste_br/Documents/4°  ANO/CG/3° trabalho/"/>
    </mc:Choice>
  </mc:AlternateContent>
  <xr:revisionPtr revIDLastSave="802" documentId="8_{CE184312-639B-4452-8DBB-D92E5F8512BF}" xr6:coauthVersionLast="47" xr6:coauthVersionMax="47" xr10:uidLastSave="{61ED1C35-BDA8-40BB-B875-5298A5E8A462}"/>
  <bookViews>
    <workbookView xWindow="-28920" yWindow="6435" windowWidth="29040" windowHeight="15720" xr2:uid="{E4066102-3FFC-48AD-88DA-DDE74771DCC9}"/>
  </bookViews>
  <sheets>
    <sheet name="Planilha1" sheetId="1" r:id="rId1"/>
  </sheets>
  <definedNames>
    <definedName name="A">Planilha1!$B$20:$E$23</definedName>
    <definedName name="AR">Planilha1!$P$14</definedName>
    <definedName name="B">Planilha1!$T$19:$V$21</definedName>
    <definedName name="far">Planilha1!$N$16</definedName>
    <definedName name="HRES">Planilha1!$P$10</definedName>
    <definedName name="N">Planilha1!$T$6:$V$6</definedName>
    <definedName name="N0">Planilha1!$H$30:$K$32</definedName>
    <definedName name="near">Planilha1!$N$15</definedName>
    <definedName name="u">Planilha1!$T$16:$V$16</definedName>
    <definedName name="V">Planilha1!$T$12:$V$12</definedName>
    <definedName name="VRES">Planilha1!$N$10</definedName>
    <definedName name="YY">Planilha1!$T$10:$V$10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1" i="1" l="1" a="1"/>
  <c r="S61" i="1" s="1"/>
  <c r="N49" i="1" a="1"/>
  <c r="N49" i="1" s="1"/>
  <c r="H25" i="1" a="1"/>
  <c r="H25" i="1" s="1"/>
  <c r="N19" i="1"/>
  <c r="P14" i="1"/>
  <c r="D73" i="1"/>
  <c r="D72" i="1"/>
  <c r="C66" i="1"/>
  <c r="B68" i="1"/>
  <c r="C68" i="1"/>
  <c r="B65" i="1"/>
  <c r="I10" i="1"/>
  <c r="D67" i="1" s="1"/>
  <c r="C56" i="1"/>
  <c r="B55" i="1"/>
  <c r="C52" i="1"/>
  <c r="B52" i="1"/>
  <c r="B45" i="1"/>
  <c r="C46" i="1" s="1"/>
  <c r="D42" i="1"/>
  <c r="C41" i="1"/>
  <c r="B40" i="1"/>
  <c r="J32" i="1"/>
  <c r="J33" i="1"/>
  <c r="I33" i="1"/>
  <c r="I31" i="1"/>
  <c r="H33" i="1"/>
  <c r="H30" i="1"/>
  <c r="D68" i="1" l="1"/>
  <c r="H60" i="1" s="1" a="1"/>
  <c r="H60" i="1" s="1"/>
  <c r="N43" i="1" s="1" a="1"/>
  <c r="N43" i="1" s="1"/>
  <c r="T8" i="1" a="1"/>
  <c r="T8" i="1" s="1"/>
  <c r="T19" i="1" a="1"/>
  <c r="T19" i="1" s="1"/>
  <c r="T6" i="1" a="1"/>
  <c r="T6" i="1" s="1"/>
  <c r="B23" i="1" a="1"/>
  <c r="B23" i="1" s="1"/>
  <c r="C37" i="1"/>
  <c r="B37" i="1"/>
  <c r="D32" i="1"/>
  <c r="C31" i="1"/>
  <c r="B30" i="1"/>
  <c r="V19" i="1" l="1" a="1"/>
  <c r="V19" i="1" s="1"/>
  <c r="T10" i="1" a="1"/>
  <c r="T10" i="1" s="1"/>
  <c r="T12" i="1" s="1" a="1"/>
  <c r="T12" i="1" s="1"/>
  <c r="T14" i="1" s="1" a="1"/>
  <c r="T14" i="1" s="1"/>
  <c r="U19" i="1" l="1" a="1"/>
  <c r="U19" i="1" s="1"/>
  <c r="B25" i="1" s="1" a="1"/>
  <c r="B25" i="1" s="1"/>
  <c r="H20" i="1" l="1" a="1"/>
  <c r="H20" i="1" s="1"/>
  <c r="H35" i="1" s="1" a="1"/>
  <c r="H35" i="1" s="1"/>
  <c r="U29" i="1" s="1" a="1"/>
  <c r="U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tc={4DAB3095-40DD-479C-BF1F-32F0B74476E8}</author>
    <author>tc={7EE09ACC-DC3C-4D86-9810-28887133B82F}</author>
  </authors>
  <commentList>
    <comment ref="J10" authorId="0" shapeId="0" xr:uid="{4DAB3095-40DD-479C-BF1F-32F0B74476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ARBITRARIO</t>
      </text>
    </comment>
    <comment ref="D67" authorId="1" shapeId="0" xr:uid="{7EE09ACC-DC3C-4D86-9810-28887133B8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Z MÁXIMO DEFINIDO COMO 1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<sst xmlns="http://schemas.openxmlformats.org/spreadsheetml/2006/main" count="71" uniqueCount="68">
  <si>
    <t>Arthur Angelo Cenci Silva</t>
  </si>
  <si>
    <t xml:space="preserve">Lucas Ivanov Costa </t>
  </si>
  <si>
    <t>Vinicius Eduardo Morais Oliveira</t>
  </si>
  <si>
    <t>Vinicius Vieira Viana</t>
  </si>
  <si>
    <t>OBJETO - PIRAMIDE:</t>
  </si>
  <si>
    <t>LIMITES DA WINDOW</t>
  </si>
  <si>
    <t>CENTRO DO PLANO DE PROJEÇÃO</t>
  </si>
  <si>
    <t>N =</t>
  </si>
  <si>
    <t>A</t>
  </si>
  <si>
    <t>B</t>
  </si>
  <si>
    <t>C</t>
  </si>
  <si>
    <t>D</t>
  </si>
  <si>
    <t>E</t>
  </si>
  <si>
    <t>Xmin =</t>
  </si>
  <si>
    <t>Xmax =</t>
  </si>
  <si>
    <t xml:space="preserve">CU = </t>
  </si>
  <si>
    <t>x</t>
  </si>
  <si>
    <t>Ymin</t>
  </si>
  <si>
    <t>Ymax =</t>
  </si>
  <si>
    <t xml:space="preserve">CV = </t>
  </si>
  <si>
    <t>^n =</t>
  </si>
  <si>
    <t>y</t>
  </si>
  <si>
    <t>z</t>
  </si>
  <si>
    <t>Zmin =</t>
  </si>
  <si>
    <t>Zmax =</t>
  </si>
  <si>
    <t>VRES =</t>
  </si>
  <si>
    <t>HRES =</t>
  </si>
  <si>
    <t>Y' =</t>
  </si>
  <si>
    <t>h</t>
  </si>
  <si>
    <t xml:space="preserve">VRP = </t>
  </si>
  <si>
    <t>LIMITES DA VIEWPORT</t>
  </si>
  <si>
    <t>RAZÃO DE ASPECTO</t>
  </si>
  <si>
    <t>V =</t>
  </si>
  <si>
    <t>Umin =</t>
  </si>
  <si>
    <t>Umax =</t>
  </si>
  <si>
    <t>SU =</t>
  </si>
  <si>
    <t>P =</t>
  </si>
  <si>
    <t>Vmin =</t>
  </si>
  <si>
    <t>Vmax =</t>
  </si>
  <si>
    <t>SV =</t>
  </si>
  <si>
    <t>^v =</t>
  </si>
  <si>
    <t>Y =</t>
  </si>
  <si>
    <t xml:space="preserve">DP = </t>
  </si>
  <si>
    <t>F =</t>
  </si>
  <si>
    <t>û =</t>
  </si>
  <si>
    <t>THE VIEWING TRANSFORMATION</t>
  </si>
  <si>
    <t>PAR =</t>
  </si>
  <si>
    <t>B =</t>
  </si>
  <si>
    <t>A =</t>
  </si>
  <si>
    <t>NL =</t>
  </si>
  <si>
    <t xml:space="preserve">NR = </t>
  </si>
  <si>
    <t>NPS=</t>
  </si>
  <si>
    <t>D =</t>
  </si>
  <si>
    <t>NOR =</t>
  </si>
  <si>
    <t>C =</t>
  </si>
  <si>
    <t>NO =</t>
  </si>
  <si>
    <t>E =</t>
  </si>
  <si>
    <t>J =</t>
  </si>
  <si>
    <t>S = JKLM</t>
  </si>
  <si>
    <t>F=</t>
  </si>
  <si>
    <t xml:space="preserve">G = </t>
  </si>
  <si>
    <t>H =</t>
  </si>
  <si>
    <t xml:space="preserve">K = </t>
  </si>
  <si>
    <t xml:space="preserve">KL = </t>
  </si>
  <si>
    <t>OBJETO</t>
  </si>
  <si>
    <t>L =</t>
  </si>
  <si>
    <t>M =</t>
  </si>
  <si>
    <t>pNPS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</si>
</sst>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Mundo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Planilha1!$B$8:$F$8</c:f>
              <c:numCache>
                <c:formatCode>General</c:formatCode>
                <c:ptCount val="5"/>
                <c:pt idx="0">
                  <c:v>-2</c:v>
                </c:pt>
                <c:pt idx="1">
                  <c:v>3</c:v>
                </c:pt>
                <c:pt idx="2">
                  <c:v>4</c:v>
                </c:pt>
                <c:pt idx="3">
                  <c:v>-1</c:v>
                </c:pt>
                <c:pt idx="4">
                  <c:v>1</c:v>
                </c:pt>
              </c:numCache>
            </c:numRef>
          </c:xVal>
          <c:yVal>
            <c:numRef>
              <c:f>Planilha1!$B$9:$F$9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E-450B-9713-293469AFB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594736"/>
        <c:axId val="1437595696"/>
      </c:scatterChart>
      <c:valAx>
        <c:axId val="143759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7595696"/>
        <c:crosses val="autoZero"/>
        <c:crossBetween val="midCat"/>
      </c:valAx>
      <c:valAx>
        <c:axId val="14375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759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533400</xdr:colOff>
      <xdr:row>21</xdr:row>
      <xdr:rowOff>14287</xdr:rowOff>
    </xdr:from>
    <xdr:ext cx="65" cy="344453"/>
    <xdr:sp macro="" textlink="">
      <xdr:nvSpPr>
        <xdr:cNvPr id="3" name="CaixaDeTexto 1">
          <a:extLst>
            <a:ext uri="{FF2B5EF4-FFF2-40B4-BE49-F238E27FC236}">
              <a16:creationId xmlns:a16="http://schemas.microsoft.com/office/drawing/2014/main" id="{959FB585-83E1-761E-936C-00604DACBD25}"/>
            </a:ext>
          </a:extLst>
        </xdr:cNvPr>
        <xdr:cNvSpPr txBox="1"/>
      </xdr:nvSpPr>
      <xdr:spPr>
        <a:xfrm>
          <a:off x="8458200" y="3062287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 b="0"/>
        </a:p>
        <a:p>
          <a:endParaRPr lang="pt-BR" sz="1100"/>
        </a:p>
      </xdr:txBody>
    </xdr:sp>
    <xdr:clientData/>
  </xdr:oneCellAnchor>
  <xdr:oneCellAnchor>
    <xdr:from>
      <xdr:col>7</xdr:col>
      <xdr:colOff>533400</xdr:colOff>
      <xdr:row>21</xdr:row>
      <xdr:rowOff>14287</xdr:rowOff>
    </xdr:from>
    <xdr:ext cx="65" cy="34445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5F074BC-9304-4A34-8035-EB51C114A47D}"/>
            </a:ext>
          </a:extLst>
        </xdr:cNvPr>
        <xdr:cNvSpPr txBox="1"/>
      </xdr:nvSpPr>
      <xdr:spPr>
        <a:xfrm>
          <a:off x="8791575" y="4148137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 b="0"/>
        </a:p>
        <a:p>
          <a:endParaRPr lang="pt-BR" sz="1100"/>
        </a:p>
      </xdr:txBody>
    </xdr:sp>
    <xdr:clientData/>
  </xdr:oneCellAnchor>
  <xdr:twoCellAnchor>
    <xdr:from>
      <xdr:col>24</xdr:col>
      <xdr:colOff>523183</xdr:colOff>
      <xdr:row>4</xdr:row>
      <xdr:rowOff>22640</xdr:rowOff>
    </xdr:from>
    <xdr:to>
      <xdr:col>32</xdr:col>
      <xdr:colOff>236053</xdr:colOff>
      <xdr:row>18</xdr:row>
      <xdr:rowOff>60187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6E2C1E-8371-6E68-E868-BA18EC89E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nicius Vieira Viana" id="{C6A75049-A11B-42BE-B47D-171D941D51A6}" userId="S::vinicius.viana@unioeste.br::eb6b33a2-2898-481d-be84-01aff91b813a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0" dT="2025-10-05T14:44:24.89" personId="{C6A75049-A11B-42BE-B47D-171D941D51A6}" id="{4DAB3095-40DD-479C-BF1F-32F0B74476E8}">
    <text>VALOR ARBITRARIO</text>
  </threadedComment>
  <threadedComment ref="D67" dT="2025-10-05T14:36:55.42" personId="{C6A75049-A11B-42BE-B47D-171D941D51A6}" id="{7EE09ACC-DC3C-4D86-9810-28887133B82F}">
    <text>Z MÁXIMO DEFINIDO COMO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BD66-ECEE-4C19-9F75-3F099BAEE574}">
  <dimension ref="A1:X78"/>
  <sheetViews>
    <sheetView tabSelected="1" topLeftCell="A39" zoomScaleNormal="100" workbookViewId="0">
      <selection activeCell="U56" sqref="U56"/>
    </sheetView>
  </sheetViews>
  <sheetFormatPr defaultRowHeight="15" x14ac:dyDescent="0.25"/>
  <cols>
    <col min="1" max="1" width="9.140625" style="1"/>
    <col min="2" max="2" width="11.28515625" style="1" bestFit="1" customWidth="1"/>
    <col min="3" max="11" width="9.140625" style="1"/>
    <col min="12" max="12" width="12" style="1" bestFit="1" customWidth="1"/>
    <col min="13" max="16384" width="9.140625" style="1"/>
  </cols>
  <sheetData>
    <row r="1" spans="1:23" ht="15.75" x14ac:dyDescent="0.25">
      <c r="A1" s="14" t="s">
        <v>0</v>
      </c>
      <c r="B1" s="14"/>
      <c r="C1" s="14"/>
      <c r="D1" s="14"/>
    </row>
    <row r="2" spans="1:23" ht="15.75" x14ac:dyDescent="0.25">
      <c r="A2" s="14" t="s">
        <v>1</v>
      </c>
      <c r="B2" s="14"/>
      <c r="C2" s="14"/>
      <c r="D2" s="14"/>
    </row>
    <row r="3" spans="1:23" ht="15.75" x14ac:dyDescent="0.25">
      <c r="A3" s="14" t="s">
        <v>2</v>
      </c>
      <c r="B3" s="14"/>
      <c r="C3" s="14"/>
      <c r="D3" s="14"/>
    </row>
    <row r="4" spans="1:23" ht="15.75" x14ac:dyDescent="0.25">
      <c r="A4" s="14" t="s">
        <v>3</v>
      </c>
      <c r="B4" s="14"/>
      <c r="C4" s="14"/>
      <c r="D4" s="14"/>
    </row>
    <row r="5" spans="1:23" ht="15.75" thickBot="1" x14ac:dyDescent="0.3"/>
    <row r="6" spans="1:23" x14ac:dyDescent="0.25">
      <c r="A6" s="25" t="s">
        <v>4</v>
      </c>
      <c r="B6" s="26"/>
      <c r="C6" s="26"/>
      <c r="D6" s="26"/>
      <c r="E6" s="26"/>
      <c r="F6" s="27"/>
      <c r="H6" s="28" t="s">
        <v>5</v>
      </c>
      <c r="I6" s="29"/>
      <c r="J6" s="29"/>
      <c r="K6" s="30"/>
      <c r="M6" s="13" t="s">
        <v>6</v>
      </c>
      <c r="N6" s="2"/>
      <c r="S6" s="1" t="s">
        <v>7</v>
      </c>
      <c r="T6" s="21" cm="1">
        <f t="array" ref="T6:V6">B12:D12-B14:D14</f>
        <v>29</v>
      </c>
      <c r="U6" s="1">
        <v>38</v>
      </c>
      <c r="V6" s="1">
        <v>99</v>
      </c>
      <c r="W6" s="21"/>
    </row>
    <row r="7" spans="1:23" x14ac:dyDescent="0.25">
      <c r="A7" s="3"/>
      <c r="B7" s="4" t="s">
        <v>8</v>
      </c>
      <c r="C7" s="4" t="s">
        <v>9</v>
      </c>
      <c r="D7" s="4" t="s">
        <v>10</v>
      </c>
      <c r="E7" s="4" t="s">
        <v>11</v>
      </c>
      <c r="F7" s="5" t="s">
        <v>12</v>
      </c>
      <c r="H7" s="3" t="s">
        <v>13</v>
      </c>
      <c r="I7" s="4">
        <v>-10</v>
      </c>
      <c r="J7" s="4" t="s">
        <v>14</v>
      </c>
      <c r="K7" s="5">
        <v>10</v>
      </c>
      <c r="M7" s="3" t="s">
        <v>15</v>
      </c>
      <c r="N7" s="5">
        <v>0</v>
      </c>
    </row>
    <row r="8" spans="1:23" ht="15.75" thickBot="1" x14ac:dyDescent="0.3">
      <c r="A8" s="3" t="s">
        <v>16</v>
      </c>
      <c r="B8" s="4">
        <v>-2</v>
      </c>
      <c r="C8" s="4">
        <v>3</v>
      </c>
      <c r="D8" s="4">
        <v>4</v>
      </c>
      <c r="E8" s="4">
        <v>-1</v>
      </c>
      <c r="F8" s="5">
        <v>1</v>
      </c>
      <c r="H8" s="6" t="s">
        <v>17</v>
      </c>
      <c r="I8" s="7">
        <v>-8</v>
      </c>
      <c r="J8" s="7" t="s">
        <v>18</v>
      </c>
      <c r="K8" s="8">
        <v>8</v>
      </c>
      <c r="M8" s="6" t="s">
        <v>19</v>
      </c>
      <c r="N8" s="8">
        <v>0</v>
      </c>
      <c r="S8" s="1" t="s">
        <v>20</v>
      </c>
      <c r="T8" s="21" cm="1">
        <f t="array" ref="T8:V8">_xlfn.ANCHORARRAY(T6)/SQRT(T6^2+U6^2+V6^2)</f>
        <v>0.26378901301806557</v>
      </c>
      <c r="U8" s="1">
        <v>0.34565456878229284</v>
      </c>
      <c r="V8" s="1">
        <v>0.90052111340649976</v>
      </c>
      <c r="W8" s="21"/>
    </row>
    <row r="9" spans="1:23" ht="15.75" thickBot="1" x14ac:dyDescent="0.3">
      <c r="A9" s="3" t="s">
        <v>21</v>
      </c>
      <c r="B9" s="4">
        <v>-1</v>
      </c>
      <c r="C9" s="4">
        <v>-2</v>
      </c>
      <c r="D9" s="4">
        <v>-1</v>
      </c>
      <c r="E9" s="4">
        <v>0</v>
      </c>
      <c r="F9" s="5">
        <v>6</v>
      </c>
    </row>
    <row r="10" spans="1:23" ht="15.75" thickBot="1" x14ac:dyDescent="0.3">
      <c r="A10" s="6" t="s">
        <v>22</v>
      </c>
      <c r="B10" s="7">
        <v>4</v>
      </c>
      <c r="C10" s="7">
        <v>5</v>
      </c>
      <c r="D10" s="7">
        <v>-2</v>
      </c>
      <c r="E10" s="7">
        <v>-3</v>
      </c>
      <c r="F10" s="8">
        <v>1</v>
      </c>
      <c r="H10" s="9" t="s">
        <v>23</v>
      </c>
      <c r="I10" s="10">
        <f>near/far</f>
        <v>0.16666666666666666</v>
      </c>
      <c r="J10" s="10" t="s">
        <v>24</v>
      </c>
      <c r="K10" s="11">
        <v>1</v>
      </c>
      <c r="M10" s="9" t="s">
        <v>25</v>
      </c>
      <c r="N10" s="10">
        <v>900</v>
      </c>
      <c r="O10" s="10" t="s">
        <v>26</v>
      </c>
      <c r="P10" s="11">
        <v>600</v>
      </c>
      <c r="S10" s="1" t="s">
        <v>27</v>
      </c>
      <c r="T10" s="21" cm="1">
        <f t="array" ref="T10:V10">SUMPRODUCT(B16:D16,_xlfn.ANCHORARRAY(T8))*_xlfn.ANCHORARRAY(T8)</f>
        <v>9.1179877544266083E-2</v>
      </c>
      <c r="U10" s="1">
        <v>0.11947708092007281</v>
      </c>
      <c r="V10" s="12">
        <v>0.31126923713387389</v>
      </c>
    </row>
    <row r="11" spans="1:23" ht="15.75" thickBot="1" x14ac:dyDescent="0.3">
      <c r="A11" s="1" t="s">
        <v>28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23" ht="15.75" thickBot="1" x14ac:dyDescent="0.3">
      <c r="A12" s="9" t="s">
        <v>29</v>
      </c>
      <c r="B12" s="10">
        <v>30</v>
      </c>
      <c r="C12" s="10">
        <v>40</v>
      </c>
      <c r="D12" s="11">
        <v>100</v>
      </c>
      <c r="H12" s="16" t="s">
        <v>30</v>
      </c>
      <c r="I12" s="18"/>
      <c r="J12" s="18"/>
      <c r="K12" s="17"/>
      <c r="M12" s="16" t="s">
        <v>31</v>
      </c>
      <c r="N12" s="17"/>
      <c r="S12" s="1" t="s">
        <v>32</v>
      </c>
      <c r="T12" s="21" cm="1">
        <f t="array" ref="T12:V12">B16:D16-_xlfn.ANCHORARRAY(T10)</f>
        <v>-9.1179877544266083E-2</v>
      </c>
      <c r="U12" s="1">
        <v>0.88052291907992719</v>
      </c>
      <c r="V12" s="12">
        <v>-0.31126923713387389</v>
      </c>
    </row>
    <row r="13" spans="1:23" ht="15.75" thickBot="1" x14ac:dyDescent="0.3">
      <c r="H13" s="3" t="s">
        <v>33</v>
      </c>
      <c r="I13" s="4">
        <v>100</v>
      </c>
      <c r="J13" s="4" t="s">
        <v>34</v>
      </c>
      <c r="K13" s="5">
        <v>1000</v>
      </c>
      <c r="M13" s="3" t="s">
        <v>35</v>
      </c>
      <c r="N13" s="5">
        <v>10</v>
      </c>
    </row>
    <row r="14" spans="1:23" ht="15.75" thickBot="1" x14ac:dyDescent="0.3">
      <c r="A14" s="9" t="s">
        <v>36</v>
      </c>
      <c r="B14" s="10">
        <v>1</v>
      </c>
      <c r="C14" s="10">
        <v>2</v>
      </c>
      <c r="D14" s="11">
        <v>1</v>
      </c>
      <c r="H14" s="6" t="s">
        <v>37</v>
      </c>
      <c r="I14" s="7">
        <v>300</v>
      </c>
      <c r="J14" s="7" t="s">
        <v>38</v>
      </c>
      <c r="K14" s="8">
        <v>900</v>
      </c>
      <c r="M14" s="3" t="s">
        <v>39</v>
      </c>
      <c r="N14" s="5">
        <v>8</v>
      </c>
      <c r="P14" s="1">
        <f>N13/N14</f>
        <v>1.25</v>
      </c>
      <c r="S14" s="1" t="s">
        <v>40</v>
      </c>
      <c r="T14" s="21" cm="1">
        <f t="array" ref="T14:V14">_xlfn.ANCHORARRAY(T12)/SQRT(T12^2+U12^2+V12^2)</f>
        <v>-9.7169210089307248E-2</v>
      </c>
      <c r="U14" s="1">
        <v>0.93836182737786555</v>
      </c>
      <c r="V14" s="1">
        <v>-0.33171557927039375</v>
      </c>
      <c r="W14" s="21"/>
    </row>
    <row r="15" spans="1:23" ht="15.75" thickBot="1" x14ac:dyDescent="0.3">
      <c r="M15" s="3" t="s">
        <v>7</v>
      </c>
      <c r="N15" s="5">
        <v>20</v>
      </c>
    </row>
    <row r="16" spans="1:23" ht="15.75" thickBot="1" x14ac:dyDescent="0.3">
      <c r="A16" s="9" t="s">
        <v>41</v>
      </c>
      <c r="B16" s="10">
        <v>0</v>
      </c>
      <c r="C16" s="10">
        <v>1</v>
      </c>
      <c r="D16" s="11">
        <v>0</v>
      </c>
      <c r="H16" s="9" t="s">
        <v>42</v>
      </c>
      <c r="I16" s="11">
        <v>50</v>
      </c>
      <c r="M16" s="6" t="s">
        <v>43</v>
      </c>
      <c r="N16" s="8">
        <v>120</v>
      </c>
      <c r="S16" s="1" t="s">
        <v>44</v>
      </c>
      <c r="T16" s="21">
        <v>0.95960000000000001</v>
      </c>
      <c r="U16" s="1">
        <v>0</v>
      </c>
      <c r="V16" s="1">
        <v>-0.28100000000000003</v>
      </c>
      <c r="W16" s="21"/>
    </row>
    <row r="19" spans="1:24" x14ac:dyDescent="0.25">
      <c r="A19" s="15" t="s">
        <v>45</v>
      </c>
      <c r="H19" s="15"/>
      <c r="M19" s="1" t="s">
        <v>46</v>
      </c>
      <c r="N19" s="1">
        <f>AR*(VRES/HRES)</f>
        <v>1.875</v>
      </c>
      <c r="S19" s="12" t="s">
        <v>47</v>
      </c>
      <c r="T19" s="1" cm="1">
        <f t="array" ref="T19:T21">TRANSPOSE(u)</f>
        <v>0.95960000000000001</v>
      </c>
      <c r="U19" s="1" cm="1">
        <f t="array" ref="U19:U21">TRANSPOSE(_xlfn.ANCHORARRAY(T14))</f>
        <v>-9.7169210089307248E-2</v>
      </c>
      <c r="V19" s="12" cm="1">
        <f t="array" ref="V19:V21">TRANSPOSE(_xlfn.ANCHORARRAY(T8))</f>
        <v>0.26378901301806557</v>
      </c>
    </row>
    <row r="20" spans="1:24" x14ac:dyDescent="0.25">
      <c r="A20" s="22" t="s">
        <v>48</v>
      </c>
      <c r="B20" s="1">
        <v>1</v>
      </c>
      <c r="C20" s="1">
        <v>0</v>
      </c>
      <c r="D20" s="1">
        <v>0</v>
      </c>
      <c r="E20" s="12">
        <v>0</v>
      </c>
      <c r="G20" s="23" t="s">
        <v>49</v>
      </c>
      <c r="H20" s="20" cm="1">
        <f t="array" ref="H20:K23">MMULT(B20:E23,B25:E28)</f>
        <v>0.95960000000000001</v>
      </c>
      <c r="I20" s="1">
        <v>-9.7169210089307248E-2</v>
      </c>
      <c r="J20" s="1">
        <v>0.26378901301806557</v>
      </c>
      <c r="K20" s="19">
        <v>0</v>
      </c>
      <c r="S20" s="12"/>
      <c r="T20" s="1">
        <v>0</v>
      </c>
      <c r="U20" s="1">
        <v>0.93836182737786555</v>
      </c>
      <c r="V20" s="12">
        <v>0.34565456878229284</v>
      </c>
    </row>
    <row r="21" spans="1:24" x14ac:dyDescent="0.25">
      <c r="A21" s="22"/>
      <c r="B21" s="1">
        <v>0</v>
      </c>
      <c r="C21" s="1">
        <v>1</v>
      </c>
      <c r="D21" s="1">
        <v>0</v>
      </c>
      <c r="E21" s="12">
        <v>0</v>
      </c>
      <c r="G21" s="23"/>
      <c r="H21" s="20">
        <v>0</v>
      </c>
      <c r="I21" s="1">
        <v>0.93836182737786555</v>
      </c>
      <c r="J21" s="1">
        <v>0.34565456878229284</v>
      </c>
      <c r="K21" s="19">
        <v>0</v>
      </c>
      <c r="S21" s="12"/>
      <c r="T21" s="1">
        <v>-0.28100000000000003</v>
      </c>
      <c r="U21" s="1">
        <v>-0.33171557927039375</v>
      </c>
      <c r="V21" s="12">
        <v>0.90052111340649976</v>
      </c>
    </row>
    <row r="22" spans="1:24" x14ac:dyDescent="0.25">
      <c r="A22" s="22"/>
      <c r="B22" s="1">
        <v>0</v>
      </c>
      <c r="C22" s="1">
        <v>0</v>
      </c>
      <c r="D22" s="1">
        <v>1</v>
      </c>
      <c r="E22" s="12">
        <v>0</v>
      </c>
      <c r="G22" s="23"/>
      <c r="H22" s="20">
        <v>-0.28100000000000003</v>
      </c>
      <c r="I22" s="1">
        <v>-0.33171557927039375</v>
      </c>
      <c r="J22" s="1">
        <v>0.90052111340649976</v>
      </c>
      <c r="K22" s="19">
        <v>0</v>
      </c>
    </row>
    <row r="23" spans="1:24" x14ac:dyDescent="0.25">
      <c r="A23" s="22"/>
      <c r="B23" s="1" cm="1">
        <f t="array" ref="B23:D23">-B14:D14</f>
        <v>-1</v>
      </c>
      <c r="C23" s="1">
        <v>-2</v>
      </c>
      <c r="D23" s="1">
        <v>-1</v>
      </c>
      <c r="E23" s="12">
        <v>1</v>
      </c>
      <c r="G23" s="23"/>
      <c r="H23" s="20">
        <v>-0.67859999999999998</v>
      </c>
      <c r="I23" s="1">
        <v>-1.4478388653960299</v>
      </c>
      <c r="J23" s="1">
        <v>-1.8556192639891509</v>
      </c>
      <c r="K23" s="19">
        <v>1</v>
      </c>
    </row>
    <row r="25" spans="1:24" x14ac:dyDescent="0.25">
      <c r="A25" s="22" t="s">
        <v>47</v>
      </c>
      <c r="B25" s="1" cm="1">
        <f t="array" ref="B25:D27">B</f>
        <v>0.95960000000000001</v>
      </c>
      <c r="C25" s="1">
        <v>-9.7169210089307248E-2</v>
      </c>
      <c r="D25" s="1">
        <v>0.26378901301806557</v>
      </c>
      <c r="E25" s="12">
        <v>0</v>
      </c>
      <c r="G25" s="23" t="s">
        <v>50</v>
      </c>
      <c r="H25" s="20" cm="1">
        <f t="array" ref="H25:K28">MMULT(B40:E43,B45:E48)</f>
        <v>0.41666666666666669</v>
      </c>
      <c r="I25" s="1">
        <v>0</v>
      </c>
      <c r="J25" s="1">
        <v>0</v>
      </c>
      <c r="K25" s="19">
        <v>0</v>
      </c>
    </row>
    <row r="26" spans="1:24" x14ac:dyDescent="0.25">
      <c r="A26" s="22"/>
      <c r="B26" s="1">
        <v>0</v>
      </c>
      <c r="C26" s="1">
        <v>0.93836182737786555</v>
      </c>
      <c r="D26" s="1">
        <v>0.34565456878229284</v>
      </c>
      <c r="E26" s="12">
        <v>0</v>
      </c>
      <c r="G26" s="23"/>
      <c r="H26" s="20">
        <v>0</v>
      </c>
      <c r="I26" s="1">
        <v>0.41666666666666669</v>
      </c>
      <c r="J26" s="1">
        <v>0</v>
      </c>
      <c r="K26" s="19">
        <v>0</v>
      </c>
    </row>
    <row r="27" spans="1:24" x14ac:dyDescent="0.25">
      <c r="A27" s="22"/>
      <c r="B27" s="1">
        <v>-0.28100000000000003</v>
      </c>
      <c r="C27" s="1">
        <v>-0.33171557927039375</v>
      </c>
      <c r="D27" s="1">
        <v>0.90052111340649976</v>
      </c>
      <c r="E27" s="12">
        <v>0</v>
      </c>
      <c r="G27" s="23"/>
      <c r="H27" s="20">
        <v>0</v>
      </c>
      <c r="I27" s="1">
        <v>0</v>
      </c>
      <c r="J27" s="1">
        <v>8.3333333333333332E-3</v>
      </c>
      <c r="K27" s="19">
        <v>0</v>
      </c>
    </row>
    <row r="28" spans="1:24" x14ac:dyDescent="0.25">
      <c r="A28" s="22"/>
      <c r="B28" s="1">
        <v>0</v>
      </c>
      <c r="C28" s="1">
        <v>0</v>
      </c>
      <c r="D28" s="1">
        <v>0</v>
      </c>
      <c r="E28" s="12">
        <v>1</v>
      </c>
      <c r="G28" s="23"/>
      <c r="H28" s="20">
        <v>0</v>
      </c>
      <c r="I28" s="1">
        <v>0</v>
      </c>
      <c r="J28" s="1">
        <v>0</v>
      </c>
      <c r="K28" s="19">
        <v>1</v>
      </c>
    </row>
    <row r="29" spans="1:24" x14ac:dyDescent="0.25">
      <c r="T29" s="22" t="s">
        <v>51</v>
      </c>
      <c r="U29" s="1" cm="1">
        <f t="array" ref="U29:X32">MMULT(_xlfn.ANCHORARRAY(H35),MMULT(B70:E73,_xlfn.ANCHORARRAY(N43)))</f>
        <v>0.96091894506509035</v>
      </c>
      <c r="V29" s="1">
        <v>9.8488155154397572E-2</v>
      </c>
      <c r="W29" s="1">
        <v>4.3964835503010925E-3</v>
      </c>
      <c r="X29" s="12">
        <v>2.6378901301806557E-3</v>
      </c>
    </row>
    <row r="30" spans="1:24" x14ac:dyDescent="0.25">
      <c r="A30" s="22" t="s">
        <v>52</v>
      </c>
      <c r="B30" s="1">
        <f>I16/N13*N16</f>
        <v>600</v>
      </c>
      <c r="C30" s="1">
        <v>0</v>
      </c>
      <c r="D30" s="1">
        <v>0</v>
      </c>
      <c r="E30" s="12">
        <v>0</v>
      </c>
      <c r="G30" s="23" t="s">
        <v>53</v>
      </c>
      <c r="H30" s="20">
        <f>1/N13</f>
        <v>0.1</v>
      </c>
      <c r="I30" s="1">
        <v>0</v>
      </c>
      <c r="J30" s="1">
        <v>0</v>
      </c>
      <c r="K30" s="19">
        <v>0</v>
      </c>
      <c r="T30" s="22"/>
      <c r="U30" s="1">
        <v>1.7282728439114642E-3</v>
      </c>
      <c r="V30" s="1">
        <v>-0.93663355453395414</v>
      </c>
      <c r="W30" s="1">
        <v>5.7609094797048807E-3</v>
      </c>
      <c r="X30" s="12">
        <v>3.4565456878229285E-3</v>
      </c>
    </row>
    <row r="31" spans="1:24" x14ac:dyDescent="0.25">
      <c r="A31" s="22"/>
      <c r="B31" s="1">
        <v>0</v>
      </c>
      <c r="C31" s="1">
        <f>I16/N14*N16</f>
        <v>750</v>
      </c>
      <c r="D31" s="1">
        <v>0</v>
      </c>
      <c r="E31" s="12">
        <v>0</v>
      </c>
      <c r="G31" s="23"/>
      <c r="H31" s="20">
        <v>0</v>
      </c>
      <c r="I31" s="1">
        <f>1/N14</f>
        <v>0.125</v>
      </c>
      <c r="J31" s="1">
        <v>0</v>
      </c>
      <c r="K31" s="19">
        <v>0</v>
      </c>
      <c r="T31" s="22"/>
      <c r="U31" s="1">
        <v>-0.2764973944329675</v>
      </c>
      <c r="V31" s="1">
        <v>0.33621818483742627</v>
      </c>
      <c r="W31" s="1">
        <v>1.5008685223441662E-2</v>
      </c>
      <c r="X31" s="12">
        <v>9.0052111340649978E-3</v>
      </c>
    </row>
    <row r="32" spans="1:24" x14ac:dyDescent="0.25">
      <c r="A32" s="22"/>
      <c r="B32" s="1">
        <v>0</v>
      </c>
      <c r="C32" s="1">
        <v>0</v>
      </c>
      <c r="D32" s="1">
        <f>1/N16</f>
        <v>8.3333333333333332E-3</v>
      </c>
      <c r="E32" s="12">
        <v>0</v>
      </c>
      <c r="G32" s="23"/>
      <c r="H32" s="20">
        <v>0</v>
      </c>
      <c r="I32" s="1">
        <v>0</v>
      </c>
      <c r="J32" s="1">
        <f>1/(far-near)</f>
        <v>0.01</v>
      </c>
      <c r="K32" s="19">
        <v>0</v>
      </c>
      <c r="T32" s="22"/>
      <c r="U32" s="1">
        <v>-0.78787809631994588</v>
      </c>
      <c r="V32" s="1">
        <v>1.3385607690760841</v>
      </c>
      <c r="W32" s="1">
        <v>-0.5309269877331525</v>
      </c>
      <c r="X32" s="12">
        <v>-0.21855619263989151</v>
      </c>
    </row>
    <row r="33" spans="1:17" x14ac:dyDescent="0.25">
      <c r="A33" s="22"/>
      <c r="B33" s="1">
        <v>0</v>
      </c>
      <c r="C33" s="1">
        <v>0</v>
      </c>
      <c r="D33" s="1">
        <v>0</v>
      </c>
      <c r="E33" s="12">
        <v>1</v>
      </c>
      <c r="G33" s="23"/>
      <c r="H33" s="20">
        <f>-N7/N13</f>
        <v>0</v>
      </c>
      <c r="I33" s="1">
        <f>-N8/N14</f>
        <v>0</v>
      </c>
      <c r="J33" s="1">
        <f>-near/(far-near)</f>
        <v>-0.2</v>
      </c>
      <c r="K33" s="19">
        <v>1</v>
      </c>
    </row>
    <row r="35" spans="1:17" x14ac:dyDescent="0.25">
      <c r="A35" s="22" t="s">
        <v>54</v>
      </c>
      <c r="B35" s="1">
        <v>1</v>
      </c>
      <c r="C35" s="1">
        <v>0</v>
      </c>
      <c r="D35" s="1">
        <v>0</v>
      </c>
      <c r="E35" s="12">
        <v>0</v>
      </c>
      <c r="G35" s="23" t="s">
        <v>55</v>
      </c>
      <c r="H35" s="20" cm="1">
        <f t="array" ref="H35:K38">MMULT(_xlfn.ANCHORARRAY(H20),H30:K33)</f>
        <v>9.5960000000000004E-2</v>
      </c>
      <c r="I35" s="1">
        <v>-1.2146151261163406E-2</v>
      </c>
      <c r="J35" s="1">
        <v>2.6378901301806557E-3</v>
      </c>
      <c r="K35" s="19">
        <v>0</v>
      </c>
    </row>
    <row r="36" spans="1:17" x14ac:dyDescent="0.25">
      <c r="A36" s="22"/>
      <c r="B36" s="1">
        <v>0</v>
      </c>
      <c r="C36" s="1">
        <v>1</v>
      </c>
      <c r="D36" s="1">
        <v>0</v>
      </c>
      <c r="E36" s="12">
        <v>0</v>
      </c>
      <c r="G36" s="23"/>
      <c r="H36" s="20">
        <v>0</v>
      </c>
      <c r="I36" s="1">
        <v>0.11729522842223319</v>
      </c>
      <c r="J36" s="1">
        <v>3.4565456878229285E-3</v>
      </c>
      <c r="K36" s="19">
        <v>0</v>
      </c>
    </row>
    <row r="37" spans="1:17" x14ac:dyDescent="0.25">
      <c r="A37" s="22"/>
      <c r="B37" s="1">
        <f>-N7/I16</f>
        <v>0</v>
      </c>
      <c r="C37" s="1">
        <f>-N8/I16</f>
        <v>0</v>
      </c>
      <c r="D37" s="1">
        <v>1</v>
      </c>
      <c r="E37" s="12">
        <v>0</v>
      </c>
      <c r="G37" s="23"/>
      <c r="H37" s="20">
        <v>-2.8100000000000003E-2</v>
      </c>
      <c r="I37" s="1">
        <v>-4.1464447408799218E-2</v>
      </c>
      <c r="J37" s="1">
        <v>9.0052111340649978E-3</v>
      </c>
      <c r="K37" s="19">
        <v>0</v>
      </c>
    </row>
    <row r="38" spans="1:17" x14ac:dyDescent="0.25">
      <c r="A38" s="22"/>
      <c r="B38" s="1">
        <v>0</v>
      </c>
      <c r="C38" s="1">
        <v>0</v>
      </c>
      <c r="D38" s="1">
        <v>0</v>
      </c>
      <c r="E38" s="12">
        <v>1</v>
      </c>
      <c r="G38" s="23"/>
      <c r="H38" s="20">
        <v>-6.7860000000000004E-2</v>
      </c>
      <c r="I38" s="1">
        <v>-0.18097985817450374</v>
      </c>
      <c r="J38" s="1">
        <v>-0.21855619263989151</v>
      </c>
      <c r="K38" s="19">
        <v>1</v>
      </c>
    </row>
    <row r="40" spans="1:17" x14ac:dyDescent="0.25">
      <c r="A40" s="23" t="s">
        <v>56</v>
      </c>
      <c r="B40" s="20">
        <f>1/far</f>
        <v>8.3333333333333332E-3</v>
      </c>
      <c r="C40" s="1">
        <v>0</v>
      </c>
      <c r="D40" s="1">
        <v>0</v>
      </c>
      <c r="E40" s="19">
        <v>0</v>
      </c>
      <c r="G40" s="22" t="s">
        <v>57</v>
      </c>
      <c r="H40" s="1">
        <v>1</v>
      </c>
      <c r="I40" s="1">
        <v>0</v>
      </c>
      <c r="J40" s="1">
        <v>0</v>
      </c>
      <c r="K40" s="12">
        <v>0</v>
      </c>
    </row>
    <row r="41" spans="1:17" x14ac:dyDescent="0.25">
      <c r="A41" s="23"/>
      <c r="B41" s="20">
        <v>0</v>
      </c>
      <c r="C41" s="1">
        <f>1/far</f>
        <v>8.3333333333333332E-3</v>
      </c>
      <c r="D41" s="1">
        <v>0</v>
      </c>
      <c r="E41" s="19">
        <v>0</v>
      </c>
      <c r="G41" s="22"/>
      <c r="H41" s="1">
        <v>0</v>
      </c>
      <c r="I41" s="1">
        <v>-1</v>
      </c>
      <c r="J41" s="1">
        <v>0</v>
      </c>
      <c r="K41" s="12">
        <v>0</v>
      </c>
    </row>
    <row r="42" spans="1:17" x14ac:dyDescent="0.25">
      <c r="A42" s="23"/>
      <c r="B42" s="20">
        <v>0</v>
      </c>
      <c r="C42" s="1">
        <v>0</v>
      </c>
      <c r="D42" s="1">
        <f>1/far</f>
        <v>8.3333333333333332E-3</v>
      </c>
      <c r="E42" s="19">
        <v>0</v>
      </c>
      <c r="G42" s="22"/>
      <c r="H42" s="1">
        <v>0</v>
      </c>
      <c r="I42" s="1">
        <v>0</v>
      </c>
      <c r="J42" s="1">
        <v>1</v>
      </c>
      <c r="K42" s="12">
        <v>0</v>
      </c>
    </row>
    <row r="43" spans="1:17" x14ac:dyDescent="0.25">
      <c r="A43" s="23"/>
      <c r="B43" s="20">
        <v>0</v>
      </c>
      <c r="C43" s="1">
        <v>0</v>
      </c>
      <c r="D43" s="1">
        <v>0</v>
      </c>
      <c r="E43" s="19">
        <v>1</v>
      </c>
      <c r="H43" s="21">
        <v>0</v>
      </c>
      <c r="I43" s="1">
        <v>0</v>
      </c>
      <c r="J43" s="1">
        <v>0</v>
      </c>
      <c r="K43" s="12">
        <v>1</v>
      </c>
      <c r="M43" s="22" t="s">
        <v>58</v>
      </c>
      <c r="N43" s="1" cm="1">
        <f t="array" ref="N43:Q46">MMULT(H40:K43,MMULT(_xlfn.ANCHORARRAY(H60),B75:E78))</f>
        <v>10</v>
      </c>
      <c r="O43" s="1">
        <v>0</v>
      </c>
      <c r="P43" s="1">
        <v>0</v>
      </c>
      <c r="Q43" s="12">
        <v>0</v>
      </c>
    </row>
    <row r="44" spans="1:17" x14ac:dyDescent="0.25">
      <c r="M44" s="22"/>
      <c r="N44" s="1">
        <v>0</v>
      </c>
      <c r="O44" s="1">
        <v>-8</v>
      </c>
      <c r="P44" s="1">
        <v>0</v>
      </c>
      <c r="Q44" s="12">
        <v>0</v>
      </c>
    </row>
    <row r="45" spans="1:17" x14ac:dyDescent="0.25">
      <c r="A45" s="23" t="s">
        <v>59</v>
      </c>
      <c r="B45" s="20">
        <f>I16</f>
        <v>50</v>
      </c>
      <c r="C45" s="1">
        <v>0</v>
      </c>
      <c r="D45" s="1">
        <v>0</v>
      </c>
      <c r="E45" s="19">
        <v>0</v>
      </c>
      <c r="M45" s="22"/>
      <c r="N45" s="1">
        <v>0</v>
      </c>
      <c r="O45" s="1">
        <v>0</v>
      </c>
      <c r="P45" s="1">
        <v>0.83333333333333337</v>
      </c>
      <c r="Q45" s="12">
        <v>0</v>
      </c>
    </row>
    <row r="46" spans="1:17" x14ac:dyDescent="0.25">
      <c r="A46" s="23"/>
      <c r="B46" s="20">
        <v>0</v>
      </c>
      <c r="C46" s="1">
        <f>B45</f>
        <v>50</v>
      </c>
      <c r="D46" s="1">
        <v>0</v>
      </c>
      <c r="E46" s="19">
        <v>0</v>
      </c>
      <c r="M46" s="22"/>
      <c r="N46" s="1">
        <v>0.5</v>
      </c>
      <c r="O46" s="1">
        <v>0.5</v>
      </c>
      <c r="P46" s="1">
        <v>0.66666666666666663</v>
      </c>
      <c r="Q46" s="12">
        <v>1</v>
      </c>
    </row>
    <row r="47" spans="1:17" x14ac:dyDescent="0.25">
      <c r="A47" s="23"/>
      <c r="B47" s="20">
        <v>0</v>
      </c>
      <c r="C47" s="1">
        <v>0</v>
      </c>
      <c r="D47" s="1">
        <v>1</v>
      </c>
      <c r="E47" s="19">
        <v>0</v>
      </c>
    </row>
    <row r="48" spans="1:17" x14ac:dyDescent="0.25">
      <c r="A48" s="23"/>
      <c r="B48" s="20">
        <v>0</v>
      </c>
      <c r="C48" s="1">
        <v>0</v>
      </c>
      <c r="D48" s="1">
        <v>0</v>
      </c>
      <c r="E48" s="19">
        <v>1</v>
      </c>
    </row>
    <row r="49" spans="1:23" x14ac:dyDescent="0.25">
      <c r="M49" s="23" t="s">
        <v>67</v>
      </c>
      <c r="N49" s="1" cm="1">
        <f t="array" ref="N49:Q52">MMULT(_xlfn.ANCHORARRAY(H20),MMULT(_xlfn.ANCHORARRAY(H25),MMULT(B50:E53,MMULT(B55:E58,MMULT(B70:E73,_xlfn.ANCHORARRAY(N43))))))</f>
        <v>-3.9392544845382729E-3</v>
      </c>
      <c r="O49" s="1">
        <v>4.158629175811996E-2</v>
      </c>
      <c r="P49" s="1">
        <v>3.6637362919175773E-3</v>
      </c>
      <c r="Q49" s="1">
        <v>2.1982417751505463E-3</v>
      </c>
    </row>
    <row r="50" spans="1:23" x14ac:dyDescent="0.25">
      <c r="A50" s="23" t="s">
        <v>60</v>
      </c>
      <c r="B50" s="20">
        <v>1</v>
      </c>
      <c r="C50" s="1">
        <v>0</v>
      </c>
      <c r="D50" s="1">
        <v>0</v>
      </c>
      <c r="E50" s="19">
        <v>0</v>
      </c>
      <c r="M50" s="23"/>
      <c r="N50" s="1">
        <v>3.9112811747776997</v>
      </c>
      <c r="O50" s="1">
        <v>-0.38954386737085112</v>
      </c>
      <c r="P50" s="1">
        <v>4.8007578997540665E-3</v>
      </c>
      <c r="Q50" s="1">
        <v>2.8804547398524403E-3</v>
      </c>
    </row>
    <row r="51" spans="1:23" x14ac:dyDescent="0.25">
      <c r="A51" s="23"/>
      <c r="B51" s="20">
        <v>0</v>
      </c>
      <c r="C51" s="1">
        <v>1</v>
      </c>
      <c r="D51" s="1">
        <v>0</v>
      </c>
      <c r="E51" s="19">
        <v>0</v>
      </c>
      <c r="M51" s="23"/>
      <c r="N51" s="1">
        <v>-1.495479408987447</v>
      </c>
      <c r="O51" s="1">
        <v>0.14196699600185783</v>
      </c>
      <c r="P51" s="1">
        <v>1.2507237686201385E-2</v>
      </c>
      <c r="Q51" s="1">
        <v>7.5043426117208309E-3</v>
      </c>
    </row>
    <row r="52" spans="1:23" x14ac:dyDescent="0.25">
      <c r="A52" s="23"/>
      <c r="B52" s="20">
        <f>-N7</f>
        <v>0</v>
      </c>
      <c r="C52" s="1">
        <f>-N8</f>
        <v>0</v>
      </c>
      <c r="D52" s="1">
        <v>1</v>
      </c>
      <c r="E52" s="19">
        <v>0</v>
      </c>
      <c r="M52" s="23"/>
      <c r="N52" s="1">
        <v>-6.3231436860834132</v>
      </c>
      <c r="O52" s="1">
        <v>0.59553444698172431</v>
      </c>
      <c r="P52" s="1">
        <v>-0.19243915644429377</v>
      </c>
      <c r="Q52" s="1">
        <v>-1.5463493866576257E-2</v>
      </c>
    </row>
    <row r="53" spans="1:23" x14ac:dyDescent="0.25">
      <c r="A53" s="23"/>
      <c r="B53" s="20">
        <v>0</v>
      </c>
      <c r="C53" s="1">
        <v>0</v>
      </c>
      <c r="D53" s="1">
        <v>0</v>
      </c>
      <c r="E53" s="19">
        <v>1</v>
      </c>
    </row>
    <row r="55" spans="1:23" x14ac:dyDescent="0.25">
      <c r="A55" s="23" t="s">
        <v>61</v>
      </c>
      <c r="B55" s="20">
        <f>1/N13</f>
        <v>0.1</v>
      </c>
      <c r="C55" s="1">
        <v>0</v>
      </c>
      <c r="D55" s="1">
        <v>0</v>
      </c>
      <c r="E55" s="19">
        <v>0</v>
      </c>
    </row>
    <row r="56" spans="1:23" x14ac:dyDescent="0.25">
      <c r="A56" s="23"/>
      <c r="B56" s="20">
        <v>1</v>
      </c>
      <c r="C56" s="1">
        <f>1/N14</f>
        <v>0.125</v>
      </c>
      <c r="D56" s="1">
        <v>0</v>
      </c>
      <c r="E56" s="19">
        <v>0</v>
      </c>
    </row>
    <row r="57" spans="1:23" x14ac:dyDescent="0.25">
      <c r="A57" s="23"/>
      <c r="B57" s="20">
        <v>0</v>
      </c>
      <c r="C57" s="1">
        <v>0</v>
      </c>
      <c r="D57" s="1">
        <v>1</v>
      </c>
      <c r="E57" s="19">
        <v>0</v>
      </c>
    </row>
    <row r="58" spans="1:23" x14ac:dyDescent="0.25">
      <c r="A58" s="23"/>
      <c r="B58" s="20">
        <v>0</v>
      </c>
      <c r="C58" s="1">
        <v>0</v>
      </c>
      <c r="D58" s="1">
        <v>0</v>
      </c>
      <c r="E58" s="19">
        <v>1</v>
      </c>
    </row>
    <row r="60" spans="1:23" x14ac:dyDescent="0.25">
      <c r="A60" s="23" t="s">
        <v>62</v>
      </c>
      <c r="B60" s="20">
        <v>0.5</v>
      </c>
      <c r="C60" s="1">
        <v>0</v>
      </c>
      <c r="D60" s="1">
        <v>0</v>
      </c>
      <c r="E60" s="19">
        <v>0</v>
      </c>
      <c r="G60" s="24" t="s">
        <v>63</v>
      </c>
      <c r="H60" s="20" cm="1">
        <f t="array" ref="H60:K63">MMULT(B60:E63,B65:E68)</f>
        <v>10</v>
      </c>
      <c r="I60" s="1">
        <v>0</v>
      </c>
      <c r="J60" s="1">
        <v>0</v>
      </c>
      <c r="K60" s="19">
        <v>0</v>
      </c>
      <c r="S60" s="1" t="s">
        <v>64</v>
      </c>
    </row>
    <row r="61" spans="1:23" x14ac:dyDescent="0.25">
      <c r="A61" s="23"/>
      <c r="B61" s="20">
        <v>0</v>
      </c>
      <c r="C61" s="1">
        <v>0.5</v>
      </c>
      <c r="D61" s="1">
        <v>0</v>
      </c>
      <c r="E61" s="19">
        <v>0</v>
      </c>
      <c r="G61" s="24"/>
      <c r="H61" s="20">
        <v>0</v>
      </c>
      <c r="I61" s="1">
        <v>8</v>
      </c>
      <c r="J61" s="1">
        <v>0</v>
      </c>
      <c r="K61" s="19">
        <v>0</v>
      </c>
      <c r="R61" s="12"/>
      <c r="S61" s="1" cm="1">
        <f t="array" ref="S61:W64">MMULT(_xlfn.ANCHORARRAY(N49),B8:F11)</f>
        <v>-1.6854595846222557E-2</v>
      </c>
      <c r="T61" s="1">
        <v>-7.4473423735116312E-2</v>
      </c>
      <c r="U61" s="1">
        <v>-6.2472540504957652E-2</v>
      </c>
      <c r="V61" s="1">
        <v>-4.8537126160639122E-3</v>
      </c>
      <c r="W61" s="12">
        <v>0.25144047413124965</v>
      </c>
    </row>
    <row r="62" spans="1:23" x14ac:dyDescent="0.25">
      <c r="A62" s="23"/>
      <c r="B62" s="20">
        <v>0</v>
      </c>
      <c r="C62" s="1">
        <v>0</v>
      </c>
      <c r="D62" s="1">
        <v>1</v>
      </c>
      <c r="E62" s="19">
        <v>0</v>
      </c>
      <c r="G62" s="24"/>
      <c r="H62" s="20">
        <v>0</v>
      </c>
      <c r="I62" s="1">
        <v>0</v>
      </c>
      <c r="J62" s="1">
        <v>0.83333333333333337</v>
      </c>
      <c r="K62" s="19">
        <v>0</v>
      </c>
      <c r="R62" s="12"/>
      <c r="S62" s="1">
        <v>-7.4109349958456798</v>
      </c>
      <c r="T62" s="1">
        <v>12.539815503313426</v>
      </c>
      <c r="U62" s="1">
        <v>16.027947505421992</v>
      </c>
      <c r="V62" s="1">
        <v>-3.9228029937371094</v>
      </c>
      <c r="W62" s="12">
        <v>1.5816991831921994</v>
      </c>
    </row>
    <row r="63" spans="1:23" x14ac:dyDescent="0.25">
      <c r="A63" s="23"/>
      <c r="B63" s="20">
        <v>0.5</v>
      </c>
      <c r="C63" s="1">
        <v>0.5</v>
      </c>
      <c r="D63" s="1">
        <v>0</v>
      </c>
      <c r="E63" s="19">
        <v>1</v>
      </c>
      <c r="G63" s="24"/>
      <c r="H63" s="20">
        <v>0</v>
      </c>
      <c r="I63" s="1">
        <v>0</v>
      </c>
      <c r="J63" s="1">
        <v>0.16666666666666666</v>
      </c>
      <c r="K63" s="19">
        <v>1</v>
      </c>
      <c r="R63" s="12"/>
      <c r="S63" s="1">
        <v>2.9065251153295626</v>
      </c>
      <c r="T63" s="1">
        <v>-4.7003316879233292</v>
      </c>
      <c r="U63" s="1">
        <v>-6.1413947647123273</v>
      </c>
      <c r="V63" s="1">
        <v>1.4654620385405637</v>
      </c>
      <c r="W63" s="12">
        <v>-0.62366585267837771</v>
      </c>
    </row>
    <row r="64" spans="1:23" x14ac:dyDescent="0.25">
      <c r="R64" s="12"/>
      <c r="S64" s="1">
        <v>11.26553280554135</v>
      </c>
      <c r="T64" s="1">
        <v>-21.138159228301735</v>
      </c>
      <c r="U64" s="1">
        <v>-25.518694372293364</v>
      </c>
      <c r="V64" s="1">
        <v>6.8849976615497184</v>
      </c>
      <c r="W64" s="12">
        <v>-2.9578396545039372</v>
      </c>
    </row>
    <row r="65" spans="1:5" x14ac:dyDescent="0.25">
      <c r="A65" s="23" t="s">
        <v>65</v>
      </c>
      <c r="B65" s="20">
        <f>K7-I7</f>
        <v>20</v>
      </c>
      <c r="C65" s="1">
        <v>0</v>
      </c>
      <c r="D65" s="1">
        <v>0</v>
      </c>
      <c r="E65" s="19">
        <v>0</v>
      </c>
    </row>
    <row r="66" spans="1:5" x14ac:dyDescent="0.25">
      <c r="A66" s="23"/>
      <c r="B66" s="20">
        <v>0</v>
      </c>
      <c r="C66" s="1">
        <f>K8-I8</f>
        <v>16</v>
      </c>
      <c r="D66" s="1">
        <v>0</v>
      </c>
      <c r="E66" s="19">
        <v>0</v>
      </c>
    </row>
    <row r="67" spans="1:5" x14ac:dyDescent="0.25">
      <c r="A67" s="23"/>
      <c r="B67" s="20">
        <v>0</v>
      </c>
      <c r="C67" s="1">
        <v>0</v>
      </c>
      <c r="D67" s="1">
        <f>1-I10</f>
        <v>0.83333333333333337</v>
      </c>
      <c r="E67" s="19">
        <v>0</v>
      </c>
    </row>
    <row r="68" spans="1:5" x14ac:dyDescent="0.25">
      <c r="A68" s="23"/>
      <c r="B68" s="20">
        <f>I7</f>
        <v>-10</v>
      </c>
      <c r="C68" s="1">
        <f>I8</f>
        <v>-8</v>
      </c>
      <c r="D68" s="1">
        <f>I10</f>
        <v>0.16666666666666666</v>
      </c>
      <c r="E68" s="19">
        <v>1</v>
      </c>
    </row>
    <row r="70" spans="1:5" x14ac:dyDescent="0.25">
      <c r="A70" s="23" t="s">
        <v>36</v>
      </c>
      <c r="B70" s="20">
        <v>1</v>
      </c>
      <c r="C70" s="1">
        <v>0</v>
      </c>
      <c r="D70" s="1">
        <v>0</v>
      </c>
      <c r="E70" s="19">
        <v>0</v>
      </c>
    </row>
    <row r="71" spans="1:5" x14ac:dyDescent="0.25">
      <c r="A71" s="23"/>
      <c r="B71" s="20">
        <v>0</v>
      </c>
      <c r="C71" s="1">
        <v>1</v>
      </c>
      <c r="D71" s="1">
        <v>0</v>
      </c>
      <c r="E71" s="19">
        <v>0</v>
      </c>
    </row>
    <row r="72" spans="1:5" x14ac:dyDescent="0.25">
      <c r="A72" s="23"/>
      <c r="B72" s="20">
        <v>0</v>
      </c>
      <c r="C72" s="1">
        <v>0</v>
      </c>
      <c r="D72" s="1">
        <f>far/(far-near)</f>
        <v>1.2</v>
      </c>
      <c r="E72" s="19">
        <v>1</v>
      </c>
    </row>
    <row r="73" spans="1:5" x14ac:dyDescent="0.25">
      <c r="A73" s="23"/>
      <c r="B73" s="20">
        <v>0</v>
      </c>
      <c r="C73" s="1">
        <v>0</v>
      </c>
      <c r="D73" s="1">
        <f>-near/(far-near)</f>
        <v>-0.2</v>
      </c>
      <c r="E73" s="19">
        <v>0</v>
      </c>
    </row>
    <row r="75" spans="1:5" x14ac:dyDescent="0.25">
      <c r="A75" s="23" t="s">
        <v>66</v>
      </c>
      <c r="B75" s="20">
        <v>1</v>
      </c>
      <c r="C75" s="1">
        <v>0</v>
      </c>
      <c r="D75" s="1">
        <v>0</v>
      </c>
      <c r="E75" s="19">
        <v>0</v>
      </c>
    </row>
    <row r="76" spans="1:5" x14ac:dyDescent="0.25">
      <c r="A76" s="23"/>
      <c r="B76" s="20">
        <v>0</v>
      </c>
      <c r="C76" s="1">
        <v>1</v>
      </c>
      <c r="D76" s="1">
        <v>0</v>
      </c>
      <c r="E76" s="19">
        <v>0</v>
      </c>
    </row>
    <row r="77" spans="1:5" x14ac:dyDescent="0.25">
      <c r="A77" s="23"/>
      <c r="B77" s="20">
        <v>0</v>
      </c>
      <c r="C77" s="1">
        <v>0</v>
      </c>
      <c r="D77" s="1">
        <v>1</v>
      </c>
      <c r="E77" s="19">
        <v>0</v>
      </c>
    </row>
    <row r="78" spans="1:5" x14ac:dyDescent="0.25">
      <c r="A78" s="23"/>
      <c r="B78" s="20">
        <v>0.5</v>
      </c>
      <c r="C78" s="1">
        <v>0.5</v>
      </c>
      <c r="D78" s="1">
        <v>0.5</v>
      </c>
      <c r="E78" s="19">
        <v>1</v>
      </c>
    </row>
  </sheetData>
  <mergeCells count="23">
    <mergeCell ref="G25:G28"/>
    <mergeCell ref="G30:G33"/>
    <mergeCell ref="G35:G38"/>
    <mergeCell ref="A6:F6"/>
    <mergeCell ref="H6:K6"/>
    <mergeCell ref="G20:G23"/>
    <mergeCell ref="A20:A23"/>
    <mergeCell ref="A25:A28"/>
    <mergeCell ref="A30:A33"/>
    <mergeCell ref="A35:A38"/>
    <mergeCell ref="A75:A78"/>
    <mergeCell ref="G40:G42"/>
    <mergeCell ref="A40:A43"/>
    <mergeCell ref="A45:A48"/>
    <mergeCell ref="A50:A53"/>
    <mergeCell ref="A55:A58"/>
    <mergeCell ref="A60:A63"/>
    <mergeCell ref="M43:M46"/>
    <mergeCell ref="T29:T32"/>
    <mergeCell ref="A70:A73"/>
    <mergeCell ref="A65:A68"/>
    <mergeCell ref="G60:G63"/>
    <mergeCell ref="M49:M52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12</vt:i4>
      </vt:variant>
    </vt:vector>
  </HeadingPairs>
  <TitlesOfParts>
    <vt:vector size="13" baseType="lpstr">
      <vt:lpstr>Planilha1</vt:lpstr>
      <vt:lpstr>A</vt:lpstr>
      <vt:lpstr>AR</vt:lpstr>
      <vt:lpstr>B</vt:lpstr>
      <vt:lpstr>far</vt:lpstr>
      <vt:lpstr>HRES</vt:lpstr>
      <vt:lpstr>N</vt:lpstr>
      <vt:lpstr>N0</vt:lpstr>
      <vt:lpstr>near</vt:lpstr>
      <vt:lpstr>u</vt:lpstr>
      <vt:lpstr>V</vt:lpstr>
      <vt:lpstr>VRES</vt:lpstr>
      <vt:lpstr>YY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Vieira Viana</dc:creator>
  <cp:keywords/>
  <dc:description/>
  <cp:lastModifiedBy>Vinicius Vieira Viana</cp:lastModifiedBy>
  <cp:revision/>
  <dcterms:created xsi:type="dcterms:W3CDTF">2025-10-05T00:18:12Z</dcterms:created>
  <dcterms:modified xsi:type="dcterms:W3CDTF">2025-10-23T16:27:59Z</dcterms:modified>
  <cp:category/>
  <cp:contentStatus/>
</cp:coreProperties>
</file>