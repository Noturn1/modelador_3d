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6030D030-CDF3-4B7C-BC43-DC043988AF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0" i="1" l="1" a="1"/>
  <c r="A130" i="1"/>
  <c r="F115" i="1" a="1"/>
  <c r="F115" i="1"/>
  <c r="F107" i="1" a="1"/>
  <c r="F107" i="1"/>
  <c r="F100" i="1" a="1"/>
  <c r="F100" i="1"/>
  <c r="F86" i="1" a="1"/>
  <c r="F86" i="1"/>
  <c r="F79" i="1" a="1"/>
  <c r="F79" i="1"/>
  <c r="A79" i="1"/>
  <c r="A71" i="1"/>
  <c r="F47" i="1" a="1"/>
  <c r="F47" i="1"/>
  <c r="F31" i="1" a="1"/>
  <c r="F31" i="1"/>
  <c r="F23" i="1" a="1"/>
  <c r="F23" i="1"/>
  <c r="F14" i="1" a="1"/>
  <c r="F14" i="1"/>
  <c r="H1" i="1" a="1"/>
  <c r="H1" i="1"/>
  <c r="H2" i="1" a="1"/>
  <c r="H2" i="1"/>
  <c r="C125" i="1"/>
  <c r="F123" i="1" s="1" a="1"/>
  <c r="F123" i="1" s="1"/>
  <c r="C117" i="1"/>
  <c r="B108" i="1"/>
  <c r="B101" i="1"/>
  <c r="A93" i="1"/>
  <c r="F93" i="1" s="1" a="1"/>
  <c r="F93" i="1" s="1"/>
  <c r="A86" i="1"/>
  <c r="B80" i="1"/>
  <c r="A80" i="1"/>
  <c r="B79" i="1"/>
  <c r="B72" i="1"/>
  <c r="A72" i="1"/>
  <c r="B71" i="1"/>
  <c r="F71" i="1" s="1" a="1"/>
  <c r="F71" i="1" s="1"/>
  <c r="A63" i="1"/>
  <c r="C65" i="1"/>
  <c r="A65" i="1"/>
  <c r="C63" i="1"/>
  <c r="C57" i="1"/>
  <c r="A57" i="1"/>
  <c r="C55" i="1"/>
  <c r="A55" i="1"/>
  <c r="F55" i="1" s="1" a="1"/>
  <c r="C49" i="1"/>
  <c r="B49" i="1"/>
  <c r="C48" i="1"/>
  <c r="B48" i="1"/>
  <c r="C41" i="1"/>
  <c r="B41" i="1"/>
  <c r="C40" i="1"/>
  <c r="B40" i="1"/>
  <c r="F39" i="1" s="1" a="1"/>
  <c r="F39" i="1" s="1"/>
  <c r="D31" i="1"/>
  <c r="D32" i="1"/>
  <c r="D25" i="1"/>
  <c r="D24" i="1"/>
  <c r="D23" i="1"/>
  <c r="D33" i="1"/>
  <c r="D16" i="1"/>
  <c r="D15" i="1"/>
  <c r="D14" i="1"/>
  <c r="F55" i="1" l="1"/>
  <c r="F63" i="1" s="1" a="1"/>
  <c r="F6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<sst xmlns="http://schemas.openxmlformats.org/spreadsheetml/2006/main" count="53" uniqueCount="29">
  <si>
    <t>Cubo</t>
  </si>
  <si>
    <t>x</t>
  </si>
  <si>
    <t>y</t>
  </si>
  <si>
    <t>z</t>
  </si>
  <si>
    <t>h</t>
  </si>
  <si>
    <t>v0</t>
  </si>
  <si>
    <t>v1</t>
  </si>
  <si>
    <t>v2</t>
  </si>
  <si>
    <t>v3</t>
  </si>
  <si>
    <t>v4</t>
  </si>
  <si>
    <t>v5</t>
  </si>
  <si>
    <t>v6</t>
  </si>
  <si>
    <t>v7</t>
  </si>
  <si>
    <t>translação</t>
  </si>
  <si>
    <t>dx</t>
  </si>
  <si>
    <t>dy</t>
  </si>
  <si>
    <t>dz</t>
  </si>
  <si>
    <t>rotação x</t>
  </si>
  <si>
    <t>rotação do excel aceita radianos, no codigo aceita graus, então converti</t>
  </si>
  <si>
    <t>rx</t>
  </si>
  <si>
    <t>rotação y</t>
  </si>
  <si>
    <t>ry</t>
  </si>
  <si>
    <t>rotação z</t>
  </si>
  <si>
    <t>rz</t>
  </si>
  <si>
    <t>escala x</t>
  </si>
  <si>
    <t>escala y</t>
  </si>
  <si>
    <t>escala z</t>
  </si>
  <si>
    <t>teste matriz composta</t>
  </si>
  <si>
    <t>escala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</si>
</sst>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tabSelected="1" topLeftCell="A117" workbookViewId="0">
      <selection activeCell="A131" sqref="A131"/>
    </sheetView>
  </sheetViews>
  <sheetFormatPr defaultRowHeight="15"/>
  <cols>
    <col min="1" max="1" width="9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H1" t="str" cm="1">
        <f t="array" ref="H1:O1">TRANSPOSE(A2:A9)</f>
        <v>v0</v>
      </c>
      <c r="I1" t="str">
        <v>v1</v>
      </c>
      <c r="J1" t="str">
        <v>v2</v>
      </c>
      <c r="K1" t="str">
        <v>v3</v>
      </c>
      <c r="L1" t="str">
        <v>v4</v>
      </c>
      <c r="M1" t="str">
        <v>v5</v>
      </c>
      <c r="N1" t="str">
        <v>v6</v>
      </c>
      <c r="O1" t="str">
        <v>v7</v>
      </c>
    </row>
    <row r="2" spans="1:15">
      <c r="A2" t="s">
        <v>5</v>
      </c>
      <c r="B2" s="2">
        <v>0</v>
      </c>
      <c r="C2" s="4">
        <v>0</v>
      </c>
      <c r="D2" s="4">
        <v>0</v>
      </c>
      <c r="E2" s="5">
        <v>1</v>
      </c>
      <c r="G2" t="s">
        <v>1</v>
      </c>
      <c r="H2" cm="1">
        <f t="array" ref="H2:O5">TRANSPOSE(B2:E9)</f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</row>
    <row r="3" spans="1:15">
      <c r="A3" t="s">
        <v>6</v>
      </c>
      <c r="B3" s="1">
        <v>1</v>
      </c>
      <c r="C3" s="6">
        <v>0</v>
      </c>
      <c r="D3" s="6">
        <v>0</v>
      </c>
      <c r="E3" s="7">
        <v>1</v>
      </c>
      <c r="G3" t="s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</row>
    <row r="4" spans="1:15">
      <c r="A4" t="s">
        <v>7</v>
      </c>
      <c r="B4" s="1">
        <v>0</v>
      </c>
      <c r="C4" s="6">
        <v>1</v>
      </c>
      <c r="D4" s="6">
        <v>0</v>
      </c>
      <c r="E4" s="7">
        <v>1</v>
      </c>
      <c r="G4" t="s">
        <v>3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</row>
    <row r="5" spans="1:15">
      <c r="A5" t="s">
        <v>8</v>
      </c>
      <c r="B5" s="1">
        <v>1</v>
      </c>
      <c r="C5" s="6">
        <v>1</v>
      </c>
      <c r="D5" s="6">
        <v>0</v>
      </c>
      <c r="E5" s="7">
        <v>1</v>
      </c>
      <c r="G5" t="s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t="s">
        <v>9</v>
      </c>
      <c r="B6" s="1">
        <v>0</v>
      </c>
      <c r="C6" s="6">
        <v>0</v>
      </c>
      <c r="D6" s="6">
        <v>1</v>
      </c>
      <c r="E6" s="7">
        <v>1</v>
      </c>
    </row>
    <row r="7" spans="1:15">
      <c r="A7" t="s">
        <v>10</v>
      </c>
      <c r="B7" s="1">
        <v>1</v>
      </c>
      <c r="C7" s="6">
        <v>0</v>
      </c>
      <c r="D7" s="6">
        <v>1</v>
      </c>
      <c r="E7" s="7">
        <v>1</v>
      </c>
    </row>
    <row r="8" spans="1:15">
      <c r="A8" t="s">
        <v>11</v>
      </c>
      <c r="B8" s="1">
        <v>0</v>
      </c>
      <c r="C8" s="6">
        <v>1</v>
      </c>
      <c r="D8" s="6">
        <v>1</v>
      </c>
      <c r="E8" s="7">
        <v>1</v>
      </c>
    </row>
    <row r="9" spans="1:15">
      <c r="A9" t="s">
        <v>12</v>
      </c>
      <c r="B9" s="3">
        <v>1</v>
      </c>
      <c r="C9" s="8">
        <v>1</v>
      </c>
      <c r="D9" s="8">
        <v>1</v>
      </c>
      <c r="E9" s="9">
        <v>1</v>
      </c>
    </row>
    <row r="11" spans="1:15">
      <c r="A11" t="s">
        <v>13</v>
      </c>
      <c r="B11" t="s">
        <v>1</v>
      </c>
    </row>
    <row r="12" spans="1:15">
      <c r="A12" t="s">
        <v>14</v>
      </c>
      <c r="B12" t="s">
        <v>15</v>
      </c>
      <c r="C12" t="s">
        <v>16</v>
      </c>
    </row>
    <row r="13" spans="1:15">
      <c r="A13">
        <v>2</v>
      </c>
      <c r="B13">
        <v>0</v>
      </c>
      <c r="C13">
        <v>0</v>
      </c>
    </row>
    <row r="14" spans="1:15">
      <c r="A14" s="2">
        <v>1</v>
      </c>
      <c r="B14" s="4">
        <v>0</v>
      </c>
      <c r="C14" s="4">
        <v>0</v>
      </c>
      <c r="D14" s="5">
        <f>A13</f>
        <v>2</v>
      </c>
      <c r="F14" cm="1">
        <f t="array" ref="F14:M17">MMULT(A14:D17,_xlfn.ANCHORARRAY(H2))</f>
        <v>2</v>
      </c>
      <c r="G14">
        <v>3</v>
      </c>
      <c r="H14">
        <v>2</v>
      </c>
      <c r="I14">
        <v>3</v>
      </c>
      <c r="J14">
        <v>2</v>
      </c>
      <c r="K14">
        <v>3</v>
      </c>
      <c r="L14">
        <v>2</v>
      </c>
      <c r="M14">
        <v>3</v>
      </c>
    </row>
    <row r="15" spans="1:15">
      <c r="A15" s="1">
        <v>0</v>
      </c>
      <c r="B15" s="6">
        <v>1</v>
      </c>
      <c r="C15" s="6">
        <v>0</v>
      </c>
      <c r="D15" s="7">
        <f>B13</f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 spans="1:15">
      <c r="A16" s="1">
        <v>0</v>
      </c>
      <c r="B16" s="6">
        <v>0</v>
      </c>
      <c r="C16" s="6">
        <v>1</v>
      </c>
      <c r="D16" s="7">
        <f>C13</f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</row>
    <row r="17" spans="1:13">
      <c r="A17" s="3">
        <v>0</v>
      </c>
      <c r="B17" s="8">
        <v>0</v>
      </c>
      <c r="C17" s="8">
        <v>0</v>
      </c>
      <c r="D17" s="9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20" spans="1:13">
      <c r="A20" t="s">
        <v>13</v>
      </c>
      <c r="B20" t="s">
        <v>2</v>
      </c>
    </row>
    <row r="21" spans="1:13">
      <c r="A21" t="s">
        <v>14</v>
      </c>
      <c r="B21" t="s">
        <v>15</v>
      </c>
      <c r="C21" t="s">
        <v>16</v>
      </c>
    </row>
    <row r="22" spans="1:13">
      <c r="A22">
        <v>0</v>
      </c>
      <c r="B22">
        <v>2</v>
      </c>
      <c r="C22">
        <v>0</v>
      </c>
    </row>
    <row r="23" spans="1:13">
      <c r="A23" s="2">
        <v>1</v>
      </c>
      <c r="B23" s="4">
        <v>0</v>
      </c>
      <c r="C23" s="4">
        <v>0</v>
      </c>
      <c r="D23" s="5">
        <f>A22</f>
        <v>0</v>
      </c>
      <c r="F23" cm="1">
        <f t="array" ref="F23:M26">MMULT(A23:D26,_xlfn.ANCHORARRAY(H2))</f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</row>
    <row r="24" spans="1:13">
      <c r="A24" s="1">
        <v>0</v>
      </c>
      <c r="B24" s="6">
        <v>1</v>
      </c>
      <c r="C24" s="6">
        <v>0</v>
      </c>
      <c r="D24" s="7">
        <f>B22</f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2</v>
      </c>
      <c r="L24">
        <v>3</v>
      </c>
      <c r="M24">
        <v>3</v>
      </c>
    </row>
    <row r="25" spans="1:13">
      <c r="A25" s="1">
        <v>0</v>
      </c>
      <c r="B25" s="6">
        <v>0</v>
      </c>
      <c r="C25" s="6">
        <v>1</v>
      </c>
      <c r="D25" s="7">
        <f>C22</f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</row>
    <row r="26" spans="1:13">
      <c r="A26" s="3">
        <v>0</v>
      </c>
      <c r="B26" s="8">
        <v>0</v>
      </c>
      <c r="C26" s="8">
        <v>0</v>
      </c>
      <c r="D26" s="9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8" spans="1:13">
      <c r="A28" t="s">
        <v>13</v>
      </c>
      <c r="B28" t="s">
        <v>3</v>
      </c>
    </row>
    <row r="29" spans="1:13">
      <c r="A29" t="s">
        <v>14</v>
      </c>
      <c r="B29" t="s">
        <v>15</v>
      </c>
      <c r="C29" t="s">
        <v>16</v>
      </c>
    </row>
    <row r="30" spans="1:13">
      <c r="A30">
        <v>0</v>
      </c>
      <c r="B30">
        <v>0</v>
      </c>
      <c r="C30">
        <v>2</v>
      </c>
    </row>
    <row r="31" spans="1:13">
      <c r="A31" s="2">
        <v>1</v>
      </c>
      <c r="B31" s="4">
        <v>0</v>
      </c>
      <c r="C31" s="4">
        <v>0</v>
      </c>
      <c r="D31" s="5">
        <f>A30</f>
        <v>0</v>
      </c>
      <c r="F31" cm="1">
        <f t="array" ref="F31:M34">MMULT(A31:D34,_xlfn.ANCHORARRAY(H2))</f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</row>
    <row r="32" spans="1:13">
      <c r="A32" s="1">
        <v>0</v>
      </c>
      <c r="B32" s="6">
        <v>1</v>
      </c>
      <c r="C32" s="6">
        <v>0</v>
      </c>
      <c r="D32" s="7">
        <f>B30</f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</row>
    <row r="33" spans="1:13">
      <c r="A33" s="1">
        <v>0</v>
      </c>
      <c r="B33" s="6">
        <v>0</v>
      </c>
      <c r="C33" s="6">
        <v>1</v>
      </c>
      <c r="D33" s="7">
        <f>C30</f>
        <v>2</v>
      </c>
      <c r="F33">
        <v>2</v>
      </c>
      <c r="G33">
        <v>2</v>
      </c>
      <c r="H33">
        <v>2</v>
      </c>
      <c r="I33">
        <v>2</v>
      </c>
      <c r="J33">
        <v>3</v>
      </c>
      <c r="K33">
        <v>3</v>
      </c>
      <c r="L33">
        <v>3</v>
      </c>
      <c r="M33">
        <v>3</v>
      </c>
    </row>
    <row r="34" spans="1:13">
      <c r="A34" s="3">
        <v>0</v>
      </c>
      <c r="B34" s="8">
        <v>0</v>
      </c>
      <c r="C34" s="8">
        <v>0</v>
      </c>
      <c r="D34" s="9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6" spans="1:13">
      <c r="A36" t="s">
        <v>17</v>
      </c>
      <c r="B36" t="s">
        <v>18</v>
      </c>
    </row>
    <row r="37" spans="1:13">
      <c r="A37" t="s">
        <v>19</v>
      </c>
    </row>
    <row r="38" spans="1:13">
      <c r="A38">
        <v>0.78539800000000004</v>
      </c>
    </row>
    <row r="39" spans="1:13">
      <c r="A39" s="2">
        <v>1</v>
      </c>
      <c r="B39" s="4">
        <v>0</v>
      </c>
      <c r="C39" s="4">
        <v>0</v>
      </c>
      <c r="D39" s="5">
        <v>0</v>
      </c>
      <c r="F39" cm="1">
        <f t="array" ref="F39:M42">MMULT(A39:D42,_xlfn.ANCHORARRAY(H2))</f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</row>
    <row r="40" spans="1:13">
      <c r="A40" s="1">
        <v>0</v>
      </c>
      <c r="B40" s="6">
        <f>COS(A38)</f>
        <v>0.70710689672598181</v>
      </c>
      <c r="C40" s="6">
        <f>-SIN(A38)</f>
        <v>-0.70710666564709435</v>
      </c>
      <c r="D40" s="7">
        <v>0</v>
      </c>
      <c r="F40">
        <v>0</v>
      </c>
      <c r="G40">
        <v>0</v>
      </c>
      <c r="H40">
        <v>0.70710689672598181</v>
      </c>
      <c r="I40">
        <v>0.70710689672598181</v>
      </c>
      <c r="J40">
        <v>-0.70710666564709435</v>
      </c>
      <c r="K40">
        <v>-0.70710666564709435</v>
      </c>
      <c r="L40">
        <v>2.3107888746931593E-7</v>
      </c>
      <c r="M40">
        <v>2.3107888746931593E-7</v>
      </c>
    </row>
    <row r="41" spans="1:13">
      <c r="A41" s="1">
        <v>0</v>
      </c>
      <c r="B41" s="6">
        <f>SIN(A38)</f>
        <v>0.70710666564709435</v>
      </c>
      <c r="C41" s="6">
        <f>COS(A38)</f>
        <v>0.70710689672598181</v>
      </c>
      <c r="D41" s="7">
        <v>0</v>
      </c>
      <c r="F41">
        <v>0</v>
      </c>
      <c r="G41">
        <v>0</v>
      </c>
      <c r="H41">
        <v>0.70710666564709435</v>
      </c>
      <c r="I41">
        <v>0.70710666564709435</v>
      </c>
      <c r="J41">
        <v>0.70710689672598181</v>
      </c>
      <c r="K41">
        <v>0.70710689672598181</v>
      </c>
      <c r="L41">
        <v>1.4142135623730763</v>
      </c>
      <c r="M41">
        <v>1.4142135623730763</v>
      </c>
    </row>
    <row r="42" spans="1:13">
      <c r="A42" s="3">
        <v>0</v>
      </c>
      <c r="B42" s="8">
        <v>0</v>
      </c>
      <c r="C42" s="8">
        <v>0</v>
      </c>
      <c r="D42" s="9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4" spans="1:13">
      <c r="A44" t="s">
        <v>17</v>
      </c>
    </row>
    <row r="45" spans="1:13">
      <c r="A45" t="s">
        <v>19</v>
      </c>
    </row>
    <row r="46" spans="1:13">
      <c r="A46">
        <v>-0.78539800000000004</v>
      </c>
    </row>
    <row r="47" spans="1:13">
      <c r="A47" s="2">
        <v>1</v>
      </c>
      <c r="B47" s="4">
        <v>0</v>
      </c>
      <c r="C47" s="4">
        <v>0</v>
      </c>
      <c r="D47" s="5">
        <v>0</v>
      </c>
      <c r="F47" cm="1">
        <f t="array" ref="F47:M50">MMULT(A47:D50,_xlfn.ANCHORARRAY(F39))</f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</row>
    <row r="48" spans="1:13">
      <c r="A48" s="1">
        <v>0</v>
      </c>
      <c r="B48" s="6">
        <f>COS(A46)</f>
        <v>0.70710689672598181</v>
      </c>
      <c r="C48" s="6">
        <f>-SIN(A46)</f>
        <v>0.70710666564709435</v>
      </c>
      <c r="D48" s="7">
        <v>0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1</v>
      </c>
      <c r="M48">
        <v>1</v>
      </c>
    </row>
    <row r="49" spans="1:13">
      <c r="A49" s="1">
        <v>0</v>
      </c>
      <c r="B49" s="6">
        <f>SIN(A46)</f>
        <v>-0.70710666564709435</v>
      </c>
      <c r="C49" s="6">
        <f>COS(A46)</f>
        <v>0.70710689672598181</v>
      </c>
      <c r="D49" s="7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</row>
    <row r="50" spans="1:13">
      <c r="A50" s="3">
        <v>0</v>
      </c>
      <c r="B50" s="8">
        <v>0</v>
      </c>
      <c r="C50" s="8">
        <v>0</v>
      </c>
      <c r="D50" s="9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2" spans="1:13">
      <c r="A52" t="s">
        <v>20</v>
      </c>
    </row>
    <row r="53" spans="1:13">
      <c r="A53" t="s">
        <v>21</v>
      </c>
    </row>
    <row r="54" spans="1:13">
      <c r="A54">
        <v>0.78539800000000004</v>
      </c>
    </row>
    <row r="55" spans="1:13">
      <c r="A55" s="2">
        <f>COS(A54)</f>
        <v>0.70710689672598181</v>
      </c>
      <c r="B55" s="4">
        <v>0</v>
      </c>
      <c r="C55" s="4">
        <f>SIN(A54)</f>
        <v>0.70710666564709435</v>
      </c>
      <c r="D55" s="5">
        <v>0</v>
      </c>
      <c r="F55" cm="1">
        <f t="array" ref="F55:M58">MMULT(A55:D58,_xlfn.ANCHORARRAY(H2))</f>
        <v>0</v>
      </c>
      <c r="G55">
        <v>0.70710689672598181</v>
      </c>
      <c r="H55">
        <v>0</v>
      </c>
      <c r="I55">
        <v>0.70710689672598181</v>
      </c>
      <c r="J55">
        <v>0.70710666564709435</v>
      </c>
      <c r="K55">
        <v>1.4142135623730763</v>
      </c>
      <c r="L55">
        <v>0.70710666564709435</v>
      </c>
      <c r="M55">
        <v>1.4142135623730763</v>
      </c>
    </row>
    <row r="56" spans="1:13">
      <c r="A56" s="1">
        <v>0</v>
      </c>
      <c r="B56" s="6">
        <v>1</v>
      </c>
      <c r="C56" s="6">
        <v>0</v>
      </c>
      <c r="D56" s="7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1</v>
      </c>
      <c r="M56">
        <v>1</v>
      </c>
    </row>
    <row r="57" spans="1:13">
      <c r="A57" s="1">
        <f>-SIN(A54)</f>
        <v>-0.70710666564709435</v>
      </c>
      <c r="B57" s="6">
        <v>0</v>
      </c>
      <c r="C57" s="6">
        <f>COS(A54)</f>
        <v>0.70710689672598181</v>
      </c>
      <c r="D57" s="7">
        <v>0</v>
      </c>
      <c r="F57">
        <v>0</v>
      </c>
      <c r="G57">
        <v>-0.70710666564709435</v>
      </c>
      <c r="H57">
        <v>0</v>
      </c>
      <c r="I57">
        <v>-0.70710666564709435</v>
      </c>
      <c r="J57">
        <v>0.70710689672598181</v>
      </c>
      <c r="K57">
        <v>2.3107888746931593E-7</v>
      </c>
      <c r="L57">
        <v>0.70710689672598181</v>
      </c>
      <c r="M57">
        <v>2.3107888746931593E-7</v>
      </c>
    </row>
    <row r="58" spans="1:13">
      <c r="A58" s="3">
        <v>0</v>
      </c>
      <c r="B58" s="8">
        <v>0</v>
      </c>
      <c r="C58" s="8">
        <v>0</v>
      </c>
      <c r="D58" s="9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60" spans="1:13">
      <c r="A60" t="s">
        <v>20</v>
      </c>
    </row>
    <row r="61" spans="1:13">
      <c r="A61" t="s">
        <v>21</v>
      </c>
    </row>
    <row r="62" spans="1:13">
      <c r="A62">
        <v>-0.78539800000000004</v>
      </c>
    </row>
    <row r="63" spans="1:13">
      <c r="A63" s="2">
        <f>COS(A62)</f>
        <v>0.70710689672598181</v>
      </c>
      <c r="B63" s="4">
        <v>0</v>
      </c>
      <c r="C63" s="4">
        <f>SIN(A62)</f>
        <v>-0.70710666564709435</v>
      </c>
      <c r="D63" s="5">
        <v>0</v>
      </c>
      <c r="F63" cm="1">
        <f t="array" ref="F63:M66">MMULT(A63:D66,_xlfn.ANCHORARRAY(F55))</f>
        <v>0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</row>
    <row r="64" spans="1:13">
      <c r="A64" s="1">
        <v>0</v>
      </c>
      <c r="B64" s="6">
        <v>1</v>
      </c>
      <c r="C64" s="6">
        <v>0</v>
      </c>
      <c r="D64" s="7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</row>
    <row r="65" spans="1:13">
      <c r="A65" s="1">
        <f>-SIN(A62)</f>
        <v>0.70710666564709435</v>
      </c>
      <c r="B65" s="6">
        <v>0</v>
      </c>
      <c r="C65" s="6">
        <f>COS(A62)</f>
        <v>0.70710689672598181</v>
      </c>
      <c r="D65" s="7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</row>
    <row r="66" spans="1:13">
      <c r="A66" s="3">
        <v>0</v>
      </c>
      <c r="B66" s="8">
        <v>0</v>
      </c>
      <c r="C66" s="8">
        <v>0</v>
      </c>
      <c r="D66" s="9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8" spans="1:13">
      <c r="A68" t="s">
        <v>22</v>
      </c>
    </row>
    <row r="69" spans="1:13">
      <c r="A69" t="s">
        <v>23</v>
      </c>
    </row>
    <row r="70" spans="1:13">
      <c r="A70">
        <v>0.78539800000000004</v>
      </c>
    </row>
    <row r="71" spans="1:13">
      <c r="A71" s="2">
        <f>COS(A70)</f>
        <v>0.70710689672598181</v>
      </c>
      <c r="B71" s="4">
        <f>-SIN(A70)</f>
        <v>-0.70710666564709435</v>
      </c>
      <c r="C71" s="4">
        <v>0</v>
      </c>
      <c r="D71" s="5">
        <v>0</v>
      </c>
      <c r="F71" cm="1">
        <f t="array" ref="F71:M74">MMULT(A71:D74,_xlfn.ANCHORARRAY(H2))</f>
        <v>0</v>
      </c>
      <c r="G71">
        <v>0.70710689672598181</v>
      </c>
      <c r="H71">
        <v>-0.70710666564709435</v>
      </c>
      <c r="I71">
        <v>2.3107888746931593E-7</v>
      </c>
      <c r="J71">
        <v>0</v>
      </c>
      <c r="K71">
        <v>0.70710689672598181</v>
      </c>
      <c r="L71">
        <v>-0.70710666564709435</v>
      </c>
      <c r="M71">
        <v>2.3107888746931593E-7</v>
      </c>
    </row>
    <row r="72" spans="1:13">
      <c r="A72" s="1">
        <f>SIN(A70)</f>
        <v>0.70710666564709435</v>
      </c>
      <c r="B72" s="6">
        <f>COS(A70)</f>
        <v>0.70710689672598181</v>
      </c>
      <c r="C72" s="6">
        <v>0</v>
      </c>
      <c r="D72" s="7">
        <v>0</v>
      </c>
      <c r="F72">
        <v>0</v>
      </c>
      <c r="G72">
        <v>0.70710666564709435</v>
      </c>
      <c r="H72">
        <v>0.70710689672598181</v>
      </c>
      <c r="I72">
        <v>1.4142135623730763</v>
      </c>
      <c r="J72">
        <v>0</v>
      </c>
      <c r="K72">
        <v>0.70710666564709435</v>
      </c>
      <c r="L72">
        <v>0.70710689672598181</v>
      </c>
      <c r="M72">
        <v>1.4142135623730763</v>
      </c>
    </row>
    <row r="73" spans="1:13">
      <c r="A73" s="1">
        <v>0</v>
      </c>
      <c r="B73" s="6">
        <v>0</v>
      </c>
      <c r="C73" s="6">
        <v>1</v>
      </c>
      <c r="D73" s="7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</row>
    <row r="74" spans="1:13">
      <c r="A74" s="3">
        <v>0</v>
      </c>
      <c r="B74" s="8">
        <v>0</v>
      </c>
      <c r="C74" s="8">
        <v>0</v>
      </c>
      <c r="D74" s="9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</row>
    <row r="76" spans="1:13">
      <c r="A76" t="s">
        <v>22</v>
      </c>
    </row>
    <row r="77" spans="1:13">
      <c r="A77" t="s">
        <v>23</v>
      </c>
    </row>
    <row r="78" spans="1:13">
      <c r="A78">
        <v>-0.78539800000000004</v>
      </c>
    </row>
    <row r="79" spans="1:13">
      <c r="A79" s="2">
        <f>COS(A78)</f>
        <v>0.70710689672598181</v>
      </c>
      <c r="B79" s="4">
        <f>-SIN(A78)</f>
        <v>0.70710666564709435</v>
      </c>
      <c r="C79" s="4">
        <v>0</v>
      </c>
      <c r="D79" s="5">
        <v>0</v>
      </c>
      <c r="F79" cm="1">
        <f t="array" ref="F79:M82">MMULT(A79:D82,_xlfn.ANCHORARRAY(F71))</f>
        <v>0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1</v>
      </c>
    </row>
    <row r="80" spans="1:13">
      <c r="A80" s="1">
        <f>SIN(A78)</f>
        <v>-0.70710666564709435</v>
      </c>
      <c r="B80" s="6">
        <f>COS(A78)</f>
        <v>0.70710689672598181</v>
      </c>
      <c r="C80" s="6">
        <v>0</v>
      </c>
      <c r="D80" s="7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1</v>
      </c>
      <c r="M80">
        <v>1</v>
      </c>
    </row>
    <row r="81" spans="1:20">
      <c r="A81" s="1">
        <v>0</v>
      </c>
      <c r="B81" s="6">
        <v>0</v>
      </c>
      <c r="C81" s="6">
        <v>1</v>
      </c>
      <c r="D81" s="7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</row>
    <row r="82" spans="1:20">
      <c r="A82" s="3">
        <v>0</v>
      </c>
      <c r="B82" s="8">
        <v>0</v>
      </c>
      <c r="C82" s="8">
        <v>0</v>
      </c>
      <c r="D82" s="9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</row>
    <row r="84" spans="1:20">
      <c r="A84" t="s">
        <v>24</v>
      </c>
    </row>
    <row r="85" spans="1:20">
      <c r="A85">
        <v>2</v>
      </c>
    </row>
    <row r="86" spans="1:20">
      <c r="A86" s="2">
        <f>A85</f>
        <v>2</v>
      </c>
      <c r="B86" s="4">
        <v>0</v>
      </c>
      <c r="C86" s="4">
        <v>0</v>
      </c>
      <c r="D86" s="5">
        <v>0</v>
      </c>
      <c r="F86" cm="1">
        <f t="array" ref="F86:M89">MMULT(A86:D89,_xlfn.ANCHORARRAY(H2))</f>
        <v>0</v>
      </c>
      <c r="G86">
        <v>2</v>
      </c>
      <c r="H86">
        <v>0</v>
      </c>
      <c r="I86">
        <v>2</v>
      </c>
      <c r="J86">
        <v>0</v>
      </c>
      <c r="K86">
        <v>2</v>
      </c>
      <c r="L86">
        <v>0</v>
      </c>
      <c r="M86">
        <v>2</v>
      </c>
    </row>
    <row r="87" spans="1:20">
      <c r="A87" s="1">
        <v>0</v>
      </c>
      <c r="B87" s="6">
        <v>1</v>
      </c>
      <c r="C87" s="6">
        <v>0</v>
      </c>
      <c r="D87" s="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</row>
    <row r="88" spans="1:20">
      <c r="A88" s="1">
        <v>0</v>
      </c>
      <c r="B88" s="6">
        <v>0</v>
      </c>
      <c r="C88" s="6">
        <v>1</v>
      </c>
      <c r="D88" s="7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</row>
    <row r="89" spans="1:20">
      <c r="A89" s="3">
        <v>0</v>
      </c>
      <c r="B89" s="8">
        <v>0</v>
      </c>
      <c r="C89" s="8">
        <v>0</v>
      </c>
      <c r="D89" s="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</row>
    <row r="91" spans="1:20">
      <c r="A91" t="s">
        <v>24</v>
      </c>
    </row>
    <row r="92" spans="1:20">
      <c r="A92">
        <v>0.5</v>
      </c>
    </row>
    <row r="93" spans="1:20">
      <c r="A93" s="2">
        <f>A92</f>
        <v>0.5</v>
      </c>
      <c r="B93" s="4">
        <v>0</v>
      </c>
      <c r="C93" s="4">
        <v>0</v>
      </c>
      <c r="D93" s="5">
        <v>0</v>
      </c>
      <c r="F93" cm="1">
        <f t="array" ref="F93:M96">MMULT(A93:D96,_xlfn.ANCHORARRAY(F86))</f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</row>
    <row r="94" spans="1:20">
      <c r="A94" s="1">
        <v>0</v>
      </c>
      <c r="B94" s="6">
        <v>1</v>
      </c>
      <c r="C94" s="6">
        <v>0</v>
      </c>
      <c r="D94" s="7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1</v>
      </c>
      <c r="M94">
        <v>1</v>
      </c>
    </row>
    <row r="95" spans="1:20">
      <c r="A95" s="1">
        <v>0</v>
      </c>
      <c r="B95" s="6">
        <v>0</v>
      </c>
      <c r="C95" s="6">
        <v>1</v>
      </c>
      <c r="D95" s="7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Q95" s="2"/>
      <c r="R95" s="4"/>
      <c r="S95" s="4"/>
      <c r="T95" s="5"/>
    </row>
    <row r="96" spans="1:20">
      <c r="A96" s="3">
        <v>0</v>
      </c>
      <c r="B96" s="8">
        <v>0</v>
      </c>
      <c r="C96" s="8">
        <v>0</v>
      </c>
      <c r="D96" s="9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Q96" s="1"/>
      <c r="R96" s="6"/>
      <c r="S96" s="6"/>
      <c r="T96" s="7"/>
    </row>
    <row r="97" spans="1:20">
      <c r="Q97" s="1"/>
      <c r="R97" s="6"/>
      <c r="S97" s="6"/>
      <c r="T97" s="7"/>
    </row>
    <row r="98" spans="1:20">
      <c r="A98" t="s">
        <v>25</v>
      </c>
      <c r="Q98" s="3"/>
      <c r="R98" s="8"/>
      <c r="S98" s="8"/>
      <c r="T98" s="9"/>
    </row>
    <row r="99" spans="1:20">
      <c r="A99">
        <v>2</v>
      </c>
    </row>
    <row r="100" spans="1:20">
      <c r="A100" s="2">
        <v>1</v>
      </c>
      <c r="B100" s="4">
        <v>0</v>
      </c>
      <c r="C100" s="4">
        <v>0</v>
      </c>
      <c r="D100" s="5">
        <v>0</v>
      </c>
      <c r="F100" cm="1">
        <f t="array" ref="F100:M103">MMULT(A100:D103,_xlfn.ANCHORARRAY(H2))</f>
        <v>0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1</v>
      </c>
    </row>
    <row r="101" spans="1:20">
      <c r="A101" s="1">
        <v>0</v>
      </c>
      <c r="B101" s="6">
        <f>A99</f>
        <v>2</v>
      </c>
      <c r="C101" s="6">
        <v>0</v>
      </c>
      <c r="D101" s="7">
        <v>0</v>
      </c>
      <c r="F101">
        <v>0</v>
      </c>
      <c r="G101">
        <v>0</v>
      </c>
      <c r="H101">
        <v>2</v>
      </c>
      <c r="I101">
        <v>2</v>
      </c>
      <c r="J101">
        <v>0</v>
      </c>
      <c r="K101">
        <v>0</v>
      </c>
      <c r="L101">
        <v>2</v>
      </c>
      <c r="M101">
        <v>2</v>
      </c>
    </row>
    <row r="102" spans="1:20">
      <c r="A102" s="1">
        <v>0</v>
      </c>
      <c r="B102" s="6">
        <v>0</v>
      </c>
      <c r="C102" s="6">
        <v>1</v>
      </c>
      <c r="D102" s="7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</row>
    <row r="103" spans="1:20">
      <c r="A103" s="3">
        <v>0</v>
      </c>
      <c r="B103" s="8">
        <v>0</v>
      </c>
      <c r="C103" s="8">
        <v>0</v>
      </c>
      <c r="D103" s="9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</row>
    <row r="105" spans="1:20">
      <c r="A105" t="s">
        <v>25</v>
      </c>
    </row>
    <row r="106" spans="1:20">
      <c r="A106">
        <v>0.5</v>
      </c>
    </row>
    <row r="107" spans="1:20">
      <c r="A107" s="2">
        <v>1</v>
      </c>
      <c r="B107" s="4">
        <v>0</v>
      </c>
      <c r="C107" s="4">
        <v>0</v>
      </c>
      <c r="D107" s="5">
        <v>0</v>
      </c>
      <c r="F107" s="10" cm="1">
        <f t="array" ref="F107:M110">MMULT(A107:D110,_xlfn.ANCHORARRAY(F100))</f>
        <v>0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O107" s="2"/>
      <c r="P107" s="4"/>
      <c r="Q107" s="4"/>
      <c r="R107" s="5"/>
    </row>
    <row r="108" spans="1:20">
      <c r="A108" s="1">
        <v>0</v>
      </c>
      <c r="B108" s="6">
        <f>A106</f>
        <v>0.5</v>
      </c>
      <c r="C108" s="6">
        <v>0</v>
      </c>
      <c r="D108" s="7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1</v>
      </c>
      <c r="O108" s="1"/>
      <c r="P108" s="6"/>
      <c r="Q108" s="6"/>
      <c r="R108" s="7"/>
    </row>
    <row r="109" spans="1:20">
      <c r="A109" s="1">
        <v>0</v>
      </c>
      <c r="B109" s="6">
        <v>0</v>
      </c>
      <c r="C109" s="6">
        <v>1</v>
      </c>
      <c r="D109" s="7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O109" s="1"/>
      <c r="P109" s="6"/>
      <c r="Q109" s="6"/>
      <c r="R109" s="7"/>
    </row>
    <row r="110" spans="1:20">
      <c r="A110" s="3">
        <v>0</v>
      </c>
      <c r="B110" s="8">
        <v>0</v>
      </c>
      <c r="C110" s="8">
        <v>0</v>
      </c>
      <c r="D110" s="9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O110" s="3"/>
      <c r="P110" s="8"/>
      <c r="Q110" s="8"/>
      <c r="R110" s="9"/>
    </row>
    <row r="113" spans="1:13">
      <c r="A113" t="s">
        <v>26</v>
      </c>
    </row>
    <row r="114" spans="1:13">
      <c r="A114">
        <v>2</v>
      </c>
    </row>
    <row r="115" spans="1:13">
      <c r="A115" s="2">
        <v>1</v>
      </c>
      <c r="B115" s="4">
        <v>0</v>
      </c>
      <c r="C115" s="4">
        <v>0</v>
      </c>
      <c r="D115" s="5">
        <v>0</v>
      </c>
      <c r="F115" cm="1">
        <f t="array" ref="F115:M118">MMULT(A115:D118,_xlfn.ANCHORARRAY(H2))</f>
        <v>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</row>
    <row r="116" spans="1:13">
      <c r="A116" s="1">
        <v>0</v>
      </c>
      <c r="B116" s="6">
        <v>1</v>
      </c>
      <c r="C116" s="6">
        <v>0</v>
      </c>
      <c r="D116" s="7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1</v>
      </c>
    </row>
    <row r="117" spans="1:13">
      <c r="A117" s="1">
        <v>0</v>
      </c>
      <c r="B117" s="6">
        <v>0</v>
      </c>
      <c r="C117" s="6">
        <f>A114</f>
        <v>2</v>
      </c>
      <c r="D117" s="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2</v>
      </c>
      <c r="L117">
        <v>2</v>
      </c>
      <c r="M117">
        <v>2</v>
      </c>
    </row>
    <row r="118" spans="1:13">
      <c r="A118" s="3">
        <v>0</v>
      </c>
      <c r="B118" s="8">
        <v>0</v>
      </c>
      <c r="C118" s="8">
        <v>0</v>
      </c>
      <c r="D118" s="9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</row>
    <row r="121" spans="1:13">
      <c r="A121" t="s">
        <v>26</v>
      </c>
    </row>
    <row r="122" spans="1:13">
      <c r="A122">
        <v>0.5</v>
      </c>
    </row>
    <row r="123" spans="1:13">
      <c r="A123" s="2">
        <v>1</v>
      </c>
      <c r="B123" s="4">
        <v>0</v>
      </c>
      <c r="C123" s="4">
        <v>0</v>
      </c>
      <c r="D123" s="5">
        <v>0</v>
      </c>
      <c r="F123" s="10" cm="1">
        <f t="array" ref="F123:M126">MMULT(A123:D126,_xlfn.ANCHORARRAY(F115))</f>
        <v>0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</row>
    <row r="124" spans="1:13">
      <c r="A124" s="1">
        <v>0</v>
      </c>
      <c r="B124" s="6">
        <v>1</v>
      </c>
      <c r="C124" s="6">
        <v>0</v>
      </c>
      <c r="D124" s="7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</row>
    <row r="125" spans="1:13">
      <c r="A125" s="1">
        <v>0</v>
      </c>
      <c r="B125" s="6">
        <v>0</v>
      </c>
      <c r="C125" s="6">
        <f>A122</f>
        <v>0.5</v>
      </c>
      <c r="D125" s="7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</row>
    <row r="126" spans="1:13">
      <c r="A126" s="3">
        <v>0</v>
      </c>
      <c r="B126" s="8">
        <v>0</v>
      </c>
      <c r="C126" s="8">
        <v>0</v>
      </c>
      <c r="D126" s="9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</row>
    <row r="129" spans="1:12">
      <c r="A129" t="s">
        <v>27</v>
      </c>
      <c r="I129" t="s">
        <v>28</v>
      </c>
    </row>
    <row r="130" spans="1:12">
      <c r="A130" cm="1">
        <f t="array" ref="A130:D133">MMULT(A14:D17,MMULT(A63:D66,I130:L133))</f>
        <v>1.4142137934519636</v>
      </c>
      <c r="B130">
        <v>0</v>
      </c>
      <c r="C130">
        <v>-1.4142133312941887</v>
      </c>
      <c r="D130">
        <v>2</v>
      </c>
      <c r="I130" s="2">
        <v>2</v>
      </c>
      <c r="J130" s="4">
        <v>0</v>
      </c>
      <c r="K130" s="4">
        <v>0</v>
      </c>
      <c r="L130" s="5">
        <v>0</v>
      </c>
    </row>
    <row r="131" spans="1:12">
      <c r="A131">
        <v>0</v>
      </c>
      <c r="B131">
        <v>2</v>
      </c>
      <c r="C131">
        <v>0</v>
      </c>
      <c r="D131">
        <v>0</v>
      </c>
      <c r="I131" s="1">
        <v>0</v>
      </c>
      <c r="J131" s="6">
        <v>2</v>
      </c>
      <c r="K131" s="6">
        <v>0</v>
      </c>
      <c r="L131" s="7">
        <v>0</v>
      </c>
    </row>
    <row r="132" spans="1:12">
      <c r="A132">
        <v>1.4142133312941887</v>
      </c>
      <c r="B132">
        <v>0</v>
      </c>
      <c r="C132">
        <v>1.4142137934519636</v>
      </c>
      <c r="D132">
        <v>0</v>
      </c>
      <c r="I132" s="1">
        <v>0</v>
      </c>
      <c r="J132" s="6">
        <v>0</v>
      </c>
      <c r="K132" s="6">
        <v>2</v>
      </c>
      <c r="L132" s="7">
        <v>0</v>
      </c>
    </row>
    <row r="133" spans="1:12">
      <c r="A133">
        <v>0</v>
      </c>
      <c r="B133">
        <v>0</v>
      </c>
      <c r="C133">
        <v>0</v>
      </c>
      <c r="D133">
        <v>1</v>
      </c>
      <c r="I133" s="3">
        <v>0</v>
      </c>
      <c r="J133" s="8">
        <v>0</v>
      </c>
      <c r="K133" s="8">
        <v>0</v>
      </c>
      <c r="L133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2026-01-21T17:32:46Z</dcterms:created>
  <dcterms:modified xsi:type="dcterms:W3CDTF">2026-01-21T19:17:02Z</dcterms:modified>
  <cp:category/>
  <cp:contentStatus/>
</cp:coreProperties>
</file>